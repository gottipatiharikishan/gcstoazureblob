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C:\Mallikarjuna\Clients\HighRadius\"/>
    </mc:Choice>
  </mc:AlternateContent>
  <xr:revisionPtr revIDLastSave="0" documentId="8_{3889F473-68D1-4246-A8D8-DF97DB9C5E62}" xr6:coauthVersionLast="47" xr6:coauthVersionMax="47" xr10:uidLastSave="{00000000-0000-0000-0000-000000000000}"/>
  <bookViews>
    <workbookView xWindow="-108" yWindow="-108" windowWidth="23256" windowHeight="12456" tabRatio="719" xr2:uid="{00000000-000D-0000-FFFF-FFFF00000000}"/>
  </bookViews>
  <sheets>
    <sheet name="Title Sheet" sheetId="21" r:id="rId1"/>
    <sheet name="ToC" sheetId="36" state="hidden" r:id="rId2"/>
    <sheet name=" Milestone Summary" sheetId="24" state="hidden" r:id="rId3"/>
    <sheet name="Change Approvals" sheetId="25" r:id="rId4"/>
    <sheet name="Pre-Migration-MPC" sheetId="29" state="hidden" r:id="rId5"/>
    <sheet name="Blockers" sheetId="41" r:id="rId6"/>
    <sheet name="Pre-Migration-Project" sheetId="49" r:id="rId7"/>
    <sheet name="Migration-Project" sheetId="50" r:id="rId8"/>
    <sheet name="Migration-MPC" sheetId="30" state="hidden" r:id="rId9"/>
    <sheet name="Post-Migration-Project" sheetId="51" r:id="rId10"/>
    <sheet name="Pre Cutover Tasks - Project" sheetId="55" r:id="rId11"/>
    <sheet name="Cutover Tasks - Project" sheetId="57" r:id="rId12"/>
    <sheet name="Rollback Plan" sheetId="16" r:id="rId13"/>
    <sheet name="LZ Details" sheetId="19" state="hidden" r:id="rId14"/>
    <sheet name="End-End-Tracker " sheetId="42" r:id="rId15"/>
    <sheet name="Infra-Firewall-Change" sheetId="37" r:id="rId16"/>
    <sheet name="Contact List" sheetId="33" r:id="rId17"/>
    <sheet name="Feedback tracker" sheetId="35" r:id="rId18"/>
    <sheet name="MASTER_INFRA" sheetId="9" state="hidden" r:id="rId19"/>
  </sheets>
  <externalReferences>
    <externalReference r:id="rId20"/>
    <externalReference r:id="rId21"/>
    <externalReference r:id="rId22"/>
    <externalReference r:id="rId23"/>
  </externalReferences>
  <definedNames>
    <definedName name="_xlnm._FilterDatabase" localSheetId="17" hidden="1">'Feedback tracker'!$A$1:$G$17</definedName>
    <definedName name="_xlnm._FilterDatabase" localSheetId="7" hidden="1">'Migration-Project'!$A$1:$K$1</definedName>
    <definedName name="_xlnm._FilterDatabase" localSheetId="12" hidden="1">'Rollback Plan'!$A$1:$K$15</definedName>
    <definedName name="MPC_Host_001" localSheetId="16">#REF!</definedName>
    <definedName name="MPC_Host_001">MASTER_INFRA!$B$3</definedName>
    <definedName name="MPC_Host_002" localSheetId="16">[1]MASTER_INFRA!#REF!</definedName>
    <definedName name="MPC_Host_002" localSheetId="13">[2]MASTER_INFRA!#REF!</definedName>
    <definedName name="MPC_Host_002" localSheetId="8">[3]MASTER_INFRA!#REF!</definedName>
    <definedName name="MPC_Host_002" localSheetId="4">[3]MASTER_INFRA!#REF!</definedName>
    <definedName name="MPC_Host_002" localSheetId="6">[4]MASTER_INFRA!#REF!</definedName>
    <definedName name="MPC_Host_002" localSheetId="1">MASTER_INFRA!#REF!</definedName>
    <definedName name="MPC_Host_002">MASTER_INFRA!#REF!</definedName>
    <definedName name="MPC_Host_003" localSheetId="16">[1]MASTER_INFRA!#REF!</definedName>
    <definedName name="MPC_Host_003" localSheetId="13">[2]MASTER_INFRA!#REF!</definedName>
    <definedName name="MPC_Host_003" localSheetId="8">[3]MASTER_INFRA!#REF!</definedName>
    <definedName name="MPC_Host_003" localSheetId="4">[3]MASTER_INFRA!#REF!</definedName>
    <definedName name="MPC_Host_003" localSheetId="6">[4]MASTER_INFRA!#REF!</definedName>
    <definedName name="MPC_Host_003" localSheetId="1">MASTER_INFRA!#REF!</definedName>
    <definedName name="MPC_Host_003">MASTER_INFRA!#REF!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4" l="1"/>
  <c r="F7" i="24" s="1"/>
  <c r="E8" i="24"/>
  <c r="F8" i="24" s="1"/>
  <c r="E9" i="24"/>
  <c r="F9" i="24" s="1"/>
  <c r="E10" i="24"/>
  <c r="F10" i="24" s="1"/>
  <c r="E11" i="24"/>
  <c r="F11" i="24" s="1"/>
  <c r="E6" i="24"/>
  <c r="F6" i="24" s="1"/>
  <c r="C33" i="24" l="1"/>
  <c r="G4" i="30" l="1"/>
  <c r="F5" i="30" s="1"/>
  <c r="G5" i="30" s="1"/>
  <c r="F6" i="30" s="1"/>
  <c r="G6" i="30" s="1"/>
  <c r="F7" i="30" s="1"/>
  <c r="G7" i="30" s="1"/>
  <c r="F9" i="30" s="1"/>
  <c r="G9" i="30" s="1"/>
  <c r="F10" i="30" s="1"/>
  <c r="G10" i="30" s="1"/>
  <c r="F12" i="30" s="1"/>
  <c r="G12" i="30" s="1"/>
  <c r="F13" i="30" s="1"/>
  <c r="G13" i="30" s="1"/>
  <c r="F14" i="30" s="1"/>
  <c r="G14" i="30" s="1"/>
  <c r="F15" i="30" s="1"/>
  <c r="G15" i="30" s="1"/>
  <c r="F16" i="30" s="1"/>
  <c r="G16" i="30" s="1"/>
  <c r="F17" i="30" s="1"/>
  <c r="G17" i="30" s="1"/>
  <c r="F18" i="30" s="1"/>
  <c r="G18" i="30" s="1"/>
  <c r="F19" i="30" s="1"/>
  <c r="G19" i="30" s="1"/>
  <c r="F20" i="30" s="1"/>
  <c r="G20" i="30" s="1"/>
  <c r="F21" i="30" s="1"/>
  <c r="G21" i="30" s="1"/>
  <c r="F22" i="30" s="1"/>
  <c r="G22" i="30" s="1"/>
  <c r="F23" i="30" s="1"/>
  <c r="G23" i="30" s="1"/>
  <c r="F24" i="30" s="1"/>
  <c r="G24" i="30" s="1"/>
  <c r="F25" i="30" s="1"/>
  <c r="G25" i="30" s="1"/>
  <c r="F26" i="30" s="1"/>
  <c r="G26" i="30" s="1"/>
  <c r="F27" i="30" s="1"/>
  <c r="G27" i="30" s="1"/>
  <c r="F28" i="30" s="1"/>
  <c r="G28" i="30" s="1"/>
  <c r="F29" i="30" s="1"/>
  <c r="G29" i="30" s="1"/>
  <c r="F30" i="30" s="1"/>
  <c r="G30" i="30" s="1"/>
  <c r="F31" i="30" s="1"/>
  <c r="G31" i="30" s="1"/>
  <c r="B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Saravana Bharathi Arumugam Krishnan (GIS)</author>
  </authors>
  <commentList>
    <comment ref="A1" authorId="0" shapeId="0" xr:uid="{47AB8D3F-DD82-4BD8-B4F2-D76C02874D89}">
      <text>
        <r>
          <rPr>
            <sz val="11"/>
            <color theme="1"/>
            <rFont val="Calibri"/>
            <family val="2"/>
            <scheme val="minor"/>
          </rPr>
          <t xml:space="preserve">Specify the description of the Roles
</t>
        </r>
      </text>
    </comment>
    <comment ref="B1" authorId="0" shapeId="0" xr:uid="{00000000-0006-0000-0F00-000001000000}">
      <text>
        <r>
          <rPr>
            <sz val="11"/>
            <color theme="1"/>
            <rFont val="Calibri"/>
            <family val="2"/>
            <scheme val="minor"/>
          </rPr>
          <t xml:space="preserve">Specify the description of the Roles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Anirban Kanjilal (WT01 - ENU)</author>
    <author>veerup</author>
    <author>Sreenath Venkatesh (WT01 - ENU)</author>
  </authors>
  <commentList>
    <comment ref="N2" authorId="0" shapeId="0" xr:uid="{00000000-0006-0000-1100-000001000000}">
      <text>
        <r>
          <rPr>
            <sz val="9"/>
            <color indexed="81"/>
            <rFont val="Tahoma"/>
            <family val="2"/>
          </rPr>
          <t xml:space="preserve">If the server require DR?
</t>
        </r>
      </text>
    </comment>
    <comment ref="O2" authorId="1" shapeId="0" xr:uid="{00000000-0006-0000-1100-000002000000}">
      <text>
        <r>
          <rPr>
            <sz val="9"/>
            <color indexed="81"/>
            <rFont val="Tahoma"/>
            <family val="2"/>
          </rPr>
          <t xml:space="preserve">Cluster Information MSCS , VCS or Application load balancer
</t>
        </r>
      </text>
    </comment>
    <comment ref="P2" authorId="1" shapeId="0" xr:uid="{00000000-0006-0000-1100-000003000000}">
      <text>
        <r>
          <rPr>
            <sz val="9"/>
            <color indexed="81"/>
            <rFont val="Tahoma"/>
            <family val="2"/>
          </rPr>
          <t xml:space="preserve">Cluster Information MSCS , VCS or Application loadbalancer
</t>
        </r>
      </text>
    </comment>
    <comment ref="AI2" authorId="2" shapeId="0" xr:uid="{00000000-0006-0000-1100-000004000000}">
      <text>
        <r>
          <rPr>
            <b/>
            <sz val="9"/>
            <color indexed="81"/>
            <rFont val="Tahoma"/>
            <family val="2"/>
          </rPr>
          <t>OS &amp; Data disk sizes are required to validate the no of workloads that could be migrated on a particular weekend based on the size</t>
        </r>
      </text>
    </comment>
    <comment ref="AX2" authorId="2" shapeId="0" xr:uid="{00000000-0006-0000-1100-000005000000}">
      <text>
        <r>
          <rPr>
            <b/>
            <sz val="9"/>
            <color indexed="81"/>
            <rFont val="Tahoma"/>
            <family val="2"/>
          </rPr>
          <t>Shared DB clusters hosting multiple applications</t>
        </r>
      </text>
    </comment>
  </commentList>
</comments>
</file>

<file path=xl/sharedStrings.xml><?xml version="1.0" encoding="utf-8"?>
<sst xmlns="http://schemas.openxmlformats.org/spreadsheetml/2006/main" count="1110" uniqueCount="492">
  <si>
    <t>4PEX Ltd.</t>
  </si>
  <si>
    <t>Release 2</t>
  </si>
  <si>
    <t>`</t>
  </si>
  <si>
    <t xml:space="preserve"> Version: 0.1</t>
  </si>
  <si>
    <t>Table of Contents</t>
  </si>
  <si>
    <t>TOC</t>
  </si>
  <si>
    <t xml:space="preserve">                                     Application Migration Milestone Summary</t>
  </si>
  <si>
    <t xml:space="preserve">Milestone/Due Date </t>
  </si>
  <si>
    <t xml:space="preserve">T - plan(due date) for Small application </t>
  </si>
  <si>
    <t xml:space="preserve">T - plan(due date) for Medium application </t>
  </si>
  <si>
    <t xml:space="preserve">T - plan(due date) for Large application </t>
  </si>
  <si>
    <t xml:space="preserve">T - plan(due date) for Extra Large application </t>
  </si>
  <si>
    <t>Only working days considered for t- plan</t>
  </si>
  <si>
    <t xml:space="preserve">Assessment Start  </t>
  </si>
  <si>
    <t xml:space="preserve">Application Assessment sign-off </t>
  </si>
  <si>
    <t>App Subscription done and shared</t>
  </si>
  <si>
    <t>FCR  Request submission</t>
  </si>
  <si>
    <t>Runbook sign-off</t>
  </si>
  <si>
    <t xml:space="preserve">Change request submitted </t>
  </si>
  <si>
    <t>FCR Execution (incl test)</t>
  </si>
  <si>
    <t>Initial Sync (Live copy)*</t>
  </si>
  <si>
    <t>*will vary as per data size and scheduling</t>
  </si>
  <si>
    <t xml:space="preserve">Pre-migration Go no Go </t>
  </si>
  <si>
    <t>Migration cutover</t>
  </si>
  <si>
    <t xml:space="preserve">T </t>
  </si>
  <si>
    <t>T</t>
  </si>
  <si>
    <t xml:space="preserve">UAT Sign -off </t>
  </si>
  <si>
    <t>+ 2 Days</t>
  </si>
  <si>
    <t xml:space="preserve">Hyper care Signoff </t>
  </si>
  <si>
    <t xml:space="preserve">+ 10 Days </t>
  </si>
  <si>
    <t xml:space="preserve"> </t>
  </si>
  <si>
    <t xml:space="preserve">                                     Application size calculation </t>
  </si>
  <si>
    <t>weightage</t>
  </si>
  <si>
    <t>1. Volume of data to be migrated (GB)</t>
  </si>
  <si>
    <t>&lt;=500</t>
  </si>
  <si>
    <t>500 - 2048</t>
  </si>
  <si>
    <t>2048 - 5120</t>
  </si>
  <si>
    <t>5120 - 10240</t>
  </si>
  <si>
    <t>&gt;10240</t>
  </si>
  <si>
    <t xml:space="preserve">2. # of interfaces to other apps/processes, </t>
  </si>
  <si>
    <t>&lt;=5</t>
  </si>
  <si>
    <t>5-10</t>
  </si>
  <si>
    <t>10-15</t>
  </si>
  <si>
    <t>15-20</t>
  </si>
  <si>
    <t>&gt;20</t>
  </si>
  <si>
    <t>3. # of servers or ApplicationTier (1, 2 or 3)</t>
  </si>
  <si>
    <t>10-20</t>
  </si>
  <si>
    <t>20-30</t>
  </si>
  <si>
    <t>&gt;30</t>
  </si>
  <si>
    <t>4. # affected users</t>
  </si>
  <si>
    <t>&lt;=50</t>
  </si>
  <si>
    <t>50-500</t>
  </si>
  <si>
    <t>500-1000</t>
  </si>
  <si>
    <t>1000-2000</t>
  </si>
  <si>
    <t>&gt;2000</t>
  </si>
  <si>
    <t xml:space="preserve">Application Criteria Score (sum of weightage) </t>
  </si>
  <si>
    <t xml:space="preserve">Sum of Application Criteria Score </t>
  </si>
  <si>
    <t>1. Volume of data to be migrated</t>
  </si>
  <si>
    <t>S</t>
  </si>
  <si>
    <t>&lt;=6</t>
  </si>
  <si>
    <t>M</t>
  </si>
  <si>
    <t>6-10</t>
  </si>
  <si>
    <t>3. # of servers</t>
  </si>
  <si>
    <t>L</t>
  </si>
  <si>
    <t>XL</t>
  </si>
  <si>
    <t>&gt;15</t>
  </si>
  <si>
    <t xml:space="preserve">Total Complexity Score </t>
  </si>
  <si>
    <t>Application complexity</t>
  </si>
  <si>
    <t>MEDIUM</t>
  </si>
  <si>
    <t>Small</t>
  </si>
  <si>
    <t xml:space="preserve">Migration Planning Runbook
</t>
  </si>
  <si>
    <t>CR #</t>
  </si>
  <si>
    <t>Date Raised</t>
  </si>
  <si>
    <t>System/ Remarks</t>
  </si>
  <si>
    <t>TBD</t>
  </si>
  <si>
    <t>#</t>
  </si>
  <si>
    <t>Status</t>
  </si>
  <si>
    <t>Owner(s)</t>
  </si>
  <si>
    <t>Task Description</t>
  </si>
  <si>
    <t>Server(s)/Systems(s)</t>
  </si>
  <si>
    <t>Due Date</t>
  </si>
  <si>
    <t>T-Minus (days)</t>
  </si>
  <si>
    <t>Start Time*</t>
  </si>
  <si>
    <t>End Time*</t>
  </si>
  <si>
    <t>Duration</t>
  </si>
  <si>
    <t>Dependencies</t>
  </si>
  <si>
    <t>Administrative</t>
  </si>
  <si>
    <t>Wipro/ E.ON/ E.ON / Application Team</t>
  </si>
  <si>
    <t xml:space="preserve">Final confirmation of MG's/applications/Servers in scope for this migration </t>
  </si>
  <si>
    <t>CI Sheet</t>
  </si>
  <si>
    <t>TBC</t>
  </si>
  <si>
    <t>Agree migration schedule, downtime and resource requirement with relevant stakeholders</t>
  </si>
  <si>
    <t>Application Team</t>
  </si>
  <si>
    <r>
      <rPr>
        <b/>
        <sz val="9"/>
        <rFont val="Segoe UI Symbol"/>
        <family val="2"/>
      </rPr>
      <t>EON Internal audit process</t>
    </r>
    <r>
      <rPr>
        <sz val="9"/>
        <rFont val="Segoe UI Symbol"/>
        <family val="2"/>
      </rPr>
      <t>-Application manager to confirm completion of Cloud Readiness Assessment as per mandatory requirement by EON Audit Requirement for Private Cloud</t>
    </r>
  </si>
  <si>
    <r>
      <rPr>
        <b/>
        <sz val="9"/>
        <rFont val="Segoe UI Symbol"/>
        <family val="2"/>
      </rPr>
      <t>General requirement for all BIT Area</t>
    </r>
    <r>
      <rPr>
        <sz val="9"/>
        <rFont val="Segoe UI Symbol"/>
        <family val="2"/>
      </rPr>
      <t>--Application manager to confirm Security exception approval if applicable, from EON Security Team (Update Move Event Sheet)</t>
    </r>
  </si>
  <si>
    <t>Application Manager to confirm As-Is environment fulfils the E.ON Security Requirements. In case not, the Application Manager need to raise security exception for the target landing zone.</t>
  </si>
  <si>
    <t>Wipro PMO Team</t>
  </si>
  <si>
    <t>Raise a Change Request for Server Move group starting from pre migration till cut over (Update Move Event Sheet)</t>
  </si>
  <si>
    <t>Approve Change Request in Service Now (Update Move Event Sheet)</t>
  </si>
  <si>
    <t>EON EDT Team</t>
  </si>
  <si>
    <t>Send communication to EON End users reg migration schedule and downtime</t>
  </si>
  <si>
    <t>Ensure communication is set to Third party/Vendors (as applicable)</t>
  </si>
  <si>
    <t>Pre Migration Tasks - Server and Storage</t>
  </si>
  <si>
    <t>Wipro Migration team</t>
  </si>
  <si>
    <t>Create a 'WiproAdmin' local admin account and password and share these (For Windows Server)</t>
  </si>
  <si>
    <t>Wipro Migration Team</t>
  </si>
  <si>
    <t>Verify creation of  appropriate port groups at Target vCenter for respective vLANs</t>
  </si>
  <si>
    <t>Save all the Eventlogs on the common shared location on the SharePoint</t>
  </si>
  <si>
    <t>Export the list of services and save it on common shared location on the SharePoint</t>
  </si>
  <si>
    <t>Execute Ipconfig/all from CLI and save it on common shared location on the SharePoint</t>
  </si>
  <si>
    <t>Execute route print from CLI and save it on common shared location on the SharePoint</t>
  </si>
  <si>
    <t>Verify any network shares which are configured,  capture the screenshot and save it on common shared location on the SharePoint</t>
  </si>
  <si>
    <t>VM  target hosts / Cluster identified - Refer LZ Details</t>
  </si>
  <si>
    <t>Check and unmount CDROM / ISO drive from virtual servers</t>
  </si>
  <si>
    <t>Create required Storage LUNs at target storage -- Refer LZ Details</t>
  </si>
  <si>
    <t>Network and Security Task(s)</t>
  </si>
  <si>
    <t>Wipro Network Team</t>
  </si>
  <si>
    <t>Ensure purticular VLAN is extended to Target ( Mandatory to have this done - Wipro and E.ON )</t>
  </si>
  <si>
    <t xml:space="preserve">Identify External (Public) IP &amp; DNS requirements </t>
  </si>
  <si>
    <t>Ensure Load balancer configuration is in-place at Target Infrastructure</t>
  </si>
  <si>
    <t>Confirm routing and reachablility from E.ON Load balancers to Wipro LB members and vice versa.</t>
  </si>
  <si>
    <t>Backup</t>
  </si>
  <si>
    <t>Wipro Backup Team</t>
  </si>
  <si>
    <t>Ensure the backup is working and corresponding backup jobs are successful</t>
  </si>
  <si>
    <t>Hostname of the backup NIC to be registered in wiprodc.local domain</t>
  </si>
  <si>
    <t xml:space="preserve">Systems Health check </t>
  </si>
  <si>
    <t>Wipro BAU</t>
  </si>
  <si>
    <t>Perform Server Health Checks and Share the Status
- Inform about any open/existing Alerts / Incidents that have not been resolved both from an OS and hardware perspective. E.g. Server Disk Space, Memory/ CPU Utilization etc</t>
  </si>
  <si>
    <t xml:space="preserve">Application </t>
  </si>
  <si>
    <t>Blocker's</t>
  </si>
  <si>
    <t>Owner</t>
  </si>
  <si>
    <t>Owner Name</t>
  </si>
  <si>
    <t>Trainz Owner Name</t>
  </si>
  <si>
    <t>AccelQ</t>
  </si>
  <si>
    <t>Stagging server requires datastore to support migration
SMB- 1650 GB  ((Currently we have 7TB configured for NFS, that can be split with NFS - 4 TB &amp; SMB 3 TB)</t>
  </si>
  <si>
    <r>
      <t xml:space="preserve">SMB to be configured in Staging server - </t>
    </r>
    <r>
      <rPr>
        <b/>
        <sz val="12"/>
        <color theme="1"/>
        <rFont val="Calibri"/>
        <family val="2"/>
        <scheme val="minor"/>
      </rPr>
      <t>Not applicable ifl VM's are Linux based</t>
    </r>
  </si>
  <si>
    <t>Stagging Server to Source VM (Linux) Port 2049 need to whitelisted 
Cmigrate   to Source VM  Port 22 need to whitelisted</t>
  </si>
  <si>
    <t>Dedicated Host Configuration Readiness</t>
  </si>
  <si>
    <t xml:space="preserve">Onboard Target Azure account in Concierto </t>
  </si>
  <si>
    <t>Stagging Server to Source VM (Linux) Port 2049 need to whitelisted 
Cmigrate (IP address)  to Source VM  Port 22 need to whitelisted</t>
  </si>
  <si>
    <t>Section</t>
  </si>
  <si>
    <t>Applicable servers</t>
  </si>
  <si>
    <t xml:space="preserve">Start Date </t>
  </si>
  <si>
    <t>End Date</t>
  </si>
  <si>
    <t xml:space="preserve">Comments / Dependency </t>
  </si>
  <si>
    <t>Stakeholder/Contacts</t>
  </si>
  <si>
    <t xml:space="preserve">Process Reference + Documentation </t>
  </si>
  <si>
    <t>Pre-Requisites</t>
  </si>
  <si>
    <t xml:space="preserve">Stagging Server -  GCS staging server is configured with required privileges and SSH key access -
For Discovery and assesment need 200 GB on root file system
For migration we need to configure NFS and SMB share as per the data size on Linux and Windows Servers 
Stagging Sever IP: </t>
  </si>
  <si>
    <t>Enable Packages in Staging Server - Python (≥ 3.6zlib packeges),  boto3 (≥ 1.18.0), botocore (≥ 1.21.0), Terraform, AWS CLI, NFS and Samba configuration, NMAP, qemu-img, jq, nfs-utils, rpcbind, lvm2, libselinux-python3, rpm, unzip, wget, and dnf
AWS CLI installation in staging server- /usr/local/bin/
Url AWS CLI: https://docs.aws.amazon.com/cli/latest/userguide/getting-started-install.html#getting-started-install-instructions
Terraform Url: https://www.terraform.io/downloads</t>
  </si>
  <si>
    <t>"Storage Gateway Security Group Configuration: VPC-level / Outbound: All traffic allowed
Inbound Rules: All traffic / Source: VPC CIDR range"</t>
  </si>
  <si>
    <t>Whiitelist the following domains on staging server if internet is not enabled  :
*.registry.terraform.io
*.hashicorp.com
*.amazon.com</t>
  </si>
  <si>
    <r>
      <rPr>
        <b/>
        <sz val="12"/>
        <color rgb="FF000000"/>
        <rFont val="Segoe UI Symbol"/>
        <family val="2"/>
      </rPr>
      <t xml:space="preserve">Enable Network Connectivity
</t>
    </r>
    <r>
      <rPr>
        <sz val="12"/>
        <color rgb="FF000000"/>
        <rFont val="Segoe UI Symbol"/>
        <family val="2"/>
      </rPr>
      <t xml:space="preserve">
Staging Server to Windows Servers On-Prem over 5986
Windows Source On-Prem Servers to Staging Server On-Prem over 445 for SMB
Concierto in AWS to Source Windows Servers On-Prem over 5986
Network bandwidth (VPN / Direct connect)
1. On-prem to Target AWS Account 
2. On-prem to C-migrate platform
3. Target AWS ccount to Cmigrate platform</t>
    </r>
    <r>
      <rPr>
        <b/>
        <sz val="12"/>
        <color rgb="FF000000"/>
        <rFont val="Segoe UI Symbol"/>
        <family val="2"/>
      </rPr>
      <t xml:space="preserve">
</t>
    </r>
    <r>
      <rPr>
        <sz val="12"/>
        <color rgb="FF000000"/>
        <rFont val="Segoe UI Symbol"/>
        <family val="2"/>
      </rPr>
      <t xml:space="preserve">
</t>
    </r>
  </si>
  <si>
    <t>For Windows Server: -
1. Required packages: PowerShell 3.0 or later, .NET 4.0 or later 
2. WinRM service must be running 
3. Enable WinRM secured port listener on port 5986 
4. Source: (https://learn.microsoft.com/en us/troubleshoot/windows-client/system-management components/configure-winrm-for-https) 
5. TLS 1.2 or higher must be enabled on all Windows workloads 
6. PowerShell execution policy should be set to "remote signed" on Windows Workloads 
7. Disk Requirements (Windows) Each disk (OS and Data disk) must have at least 13% of free disk space available.</t>
  </si>
  <si>
    <t>Pre-Requisites (Migration)</t>
  </si>
  <si>
    <t>Windows Local user with Admin privileges required for migration (Migration will not work with Domain user  )-NOT Required as this app has Windows servers</t>
  </si>
  <si>
    <t>Server uptime should be less than 30-45 days</t>
  </si>
  <si>
    <t>Identify Source VM-to- Target subnet mapping for pilot server migration in Target Env</t>
  </si>
  <si>
    <t>Create specific Security Groups for target  Linux VMs
Linux SG ports (22,443,2049)</t>
  </si>
  <si>
    <t>Pre-Requisites (Migration)
One time activity for each account</t>
  </si>
  <si>
    <t>Trianz</t>
  </si>
  <si>
    <t>Create 2 S3 or GCS Bucket one for SMB and another for NFS, Storage gateway appliances, Storage gateway interface endpoint and S3 or GCS interface endpoint.
Activate the storage gateway and configure the SMB and NFS shares 
Create a C-Migrate user with IAM roles and permissions (Programatic access only)</t>
  </si>
  <si>
    <t>Onboard the target account to the Concierto platform</t>
  </si>
  <si>
    <t xml:space="preserve">Section </t>
  </si>
  <si>
    <t>Start Date</t>
  </si>
  <si>
    <t>Duration(Mins)</t>
  </si>
  <si>
    <t>Notes</t>
  </si>
  <si>
    <r>
      <rPr>
        <b/>
        <sz val="12"/>
        <color rgb="FF000000"/>
        <rFont val="Segoe UI Symbol"/>
        <family val="2"/>
      </rPr>
      <t>Discovery &amp; Assessmen</t>
    </r>
    <r>
      <rPr>
        <sz val="12"/>
        <color rgb="FF000000"/>
        <rFont val="Segoe UI Symbol"/>
        <family val="2"/>
      </rPr>
      <t xml:space="preserve">t </t>
    </r>
  </si>
  <si>
    <t>From Concertio Migrate Perform Host-IP and file based discovery for all VMs</t>
  </si>
  <si>
    <t>Create an Assessment report Environment</t>
  </si>
  <si>
    <t>Migration</t>
  </si>
  <si>
    <t>Verify the Approved generated Assessment report to create Plan ID</t>
  </si>
  <si>
    <t>Group applications/servers into structured migration waves for phased execution.</t>
  </si>
  <si>
    <t>Idetify dedicated host Resource group</t>
  </si>
  <si>
    <t>Define Landing Zone for Workloads - VPC, Subnet, S3 Bucket, S3 Secuirty group, transit type</t>
  </si>
  <si>
    <t>Define VM build templates including instance type, keypair &amp; availability zone, instance taging, encryption, IMDS V2, disk type.</t>
  </si>
  <si>
    <t>Group servers logically (OS/application/Env based) for simultaneous migration.</t>
  </si>
  <si>
    <t>Map each move group to its target cloud configuration.</t>
  </si>
  <si>
    <t>Share migration plan for review and secure change approval.</t>
  </si>
  <si>
    <t>CAB approval validates and approves plan for execution.</t>
  </si>
  <si>
    <t>Ensure on-prem servers are running before starting replication/migration.</t>
  </si>
  <si>
    <t>Trigger migration execution via CMigrate platform.</t>
  </si>
  <si>
    <t>Monitor backup, template creation, provisioning, restore &amp; status logs.</t>
  </si>
  <si>
    <t>Confirm EC2/VMs created successfully in target cloud.</t>
  </si>
  <si>
    <t>Sanity check validations for the migrated VM's  and handover to application team to validate</t>
  </si>
  <si>
    <t>Server(s)</t>
  </si>
  <si>
    <t>First Check</t>
  </si>
  <si>
    <t>Verify and ensure the incremental backup is successful</t>
  </si>
  <si>
    <t>Wipro BAU/ Migration Team</t>
  </si>
  <si>
    <t>Perform Server Health Checks and Share the Status
- Ensure that there are no open/existing Alerts / Incidents that have not been resolved both from an OS and hardware perspective. E.g. Server Disk Space, Memory/ CPU Utilization etc</t>
  </si>
  <si>
    <t>Wipro Tools Team</t>
  </si>
  <si>
    <t>Suppress monitoring alert / disable monitoring</t>
  </si>
  <si>
    <t>Log in to server &amp; verify the access</t>
  </si>
  <si>
    <t>Go/No Go Meeting</t>
  </si>
  <si>
    <t>Wipro</t>
  </si>
  <si>
    <t>Ensure all key Members are available and ready for the Migration.</t>
  </si>
  <si>
    <t>Wipro/E.ON/EDT</t>
  </si>
  <si>
    <t>Wipro/E.ON Migration leads announces start of migration</t>
  </si>
  <si>
    <t>Server Task(s) - T Day (Outage Windows Starts from here)</t>
  </si>
  <si>
    <t>Stop the scheduled tasks - Local OS</t>
  </si>
  <si>
    <r>
      <t xml:space="preserve">Stop the application services at Source and make it as a Manual.  </t>
    </r>
    <r>
      <rPr>
        <sz val="9"/>
        <color rgb="FFFF0000"/>
        <rFont val="Segoe UI Symbol"/>
        <family val="2"/>
      </rPr>
      <t>(Sub-Tasks to be taken from App Owners) - Keep it in maintainance mode</t>
    </r>
  </si>
  <si>
    <t>Take the VM Snapshot</t>
  </si>
  <si>
    <t>Perform V2V Final Sync (Data Copy)  via vSphere Replication</t>
  </si>
  <si>
    <t>Monitor / Verify the Final Sync for Completion</t>
  </si>
  <si>
    <t>Verify Source VM Shutdown</t>
  </si>
  <si>
    <t>Move the Target VM on the required Datastore and Host Cluster</t>
  </si>
  <si>
    <t xml:space="preserve">Verify Production and Mgmt Network on target VM - attach the designated Port Group. </t>
  </si>
  <si>
    <t>Verify target VM Power Status</t>
  </si>
  <si>
    <t>Verify VM time synchronized to NTP time</t>
  </si>
  <si>
    <t>Verify event log for any errors</t>
  </si>
  <si>
    <t xml:space="preserve">Verify Domain Name Resolution and Reachability </t>
  </si>
  <si>
    <t xml:space="preserve">Check all automatic OS services are running correctly. </t>
  </si>
  <si>
    <t>Application Team / Wipro DBA</t>
  </si>
  <si>
    <t xml:space="preserve">Start DB Service &amp; application services , Also change the services to Automatic start which were set to Manual before Migration </t>
  </si>
  <si>
    <t>Application Team / E.ON</t>
  </si>
  <si>
    <t xml:space="preserve">Validate all the Virtual IPs and names post migration and their accessibility from respective end-points. </t>
  </si>
  <si>
    <t>Application Teams</t>
  </si>
  <si>
    <r>
      <rPr>
        <b/>
        <sz val="9"/>
        <color theme="1"/>
        <rFont val="Segoe UI Symbol"/>
        <family val="2"/>
      </rPr>
      <t>Perfrom initial post-migration pre go live application tests-</t>
    </r>
    <r>
      <rPr>
        <sz val="9"/>
        <color theme="1"/>
        <rFont val="Segoe UI Symbol"/>
        <family val="2"/>
      </rPr>
      <t>that have been agreed during early L3 planning with BIT test manager. A number of use test cases will be  run, result recorded and  also  timing  to  complete  the  tests  . This  baselined time will be used post migration to compare the performance between Source and Target system.</t>
    </r>
  </si>
  <si>
    <t>Application Team / E.ON/ Wipro/BIT  Manager</t>
  </si>
  <si>
    <r>
      <t>Go-No/Go decision-</t>
    </r>
    <r>
      <rPr>
        <sz val="9"/>
        <rFont val="Segoe UI Symbol"/>
        <family val="2"/>
      </rPr>
      <t xml:space="preserve"> Actual time will be detailed during L3 planning. In general the time required to complete the roll back to ensure the system is back in original BAU state</t>
    </r>
    <r>
      <rPr>
        <b/>
        <sz val="9"/>
        <rFont val="Segoe UI Symbol"/>
        <family val="2"/>
      </rPr>
      <t xml:space="preserve"> </t>
    </r>
  </si>
  <si>
    <r>
      <t xml:space="preserve">Installation &amp; configuration of backup, AV, </t>
    </r>
    <r>
      <rPr>
        <b/>
        <sz val="9"/>
        <rFont val="Segoe UI Symbol"/>
        <family val="2"/>
      </rPr>
      <t>JetPatch</t>
    </r>
    <r>
      <rPr>
        <sz val="9"/>
        <color theme="1"/>
        <rFont val="Segoe UI Symbol"/>
        <family val="2"/>
      </rPr>
      <t xml:space="preserve"> &amp; Monitoring tools</t>
    </r>
  </si>
  <si>
    <t>Check and resume for any scheduled jobs configured on Ctrl-M / UC4</t>
  </si>
  <si>
    <t>Check and resume for any scheduled jobs configured on OS</t>
  </si>
  <si>
    <t>Phase</t>
  </si>
  <si>
    <t>OS Name</t>
  </si>
  <si>
    <t>Trianz Migration Team</t>
  </si>
  <si>
    <t>Post Migration Task</t>
  </si>
  <si>
    <t>Linux/Windows</t>
  </si>
  <si>
    <t>Validate VPC/Subnets/SG of target server ( N/W validation)</t>
  </si>
  <si>
    <t>Validate the connectivity of migrated VMs in target account.</t>
  </si>
  <si>
    <t>Rename the server as per AWS naming convention and add the the server into the domain</t>
  </si>
  <si>
    <t>Install Adot monitoring agent and configure on the migrated VMs</t>
  </si>
  <si>
    <t>NA</t>
  </si>
  <si>
    <t>Install EC2 Serial Console for Production VMs</t>
  </si>
  <si>
    <t>Install SSM agent in all VMs</t>
  </si>
  <si>
    <t>Install Elastic DR agent on all Production VMs</t>
  </si>
  <si>
    <t>BESclient- BigFix Agent Restart/Reinstall all VMs</t>
  </si>
  <si>
    <t>Nessus Agent-Stop the Agent / Remove the machine id / start the Agent
For New build Nessus Agent need to be installed</t>
  </si>
  <si>
    <t>CrowdStrike Falcon Sensor-Stop the current service &amp; Remove the existing version</t>
  </si>
  <si>
    <t>HiR</t>
  </si>
  <si>
    <t>Inform to Anderson/Suresh to add the servers in the respertive OU</t>
  </si>
  <si>
    <t>Create the Application specific SG with required application specific rules.</t>
  </si>
  <si>
    <t>Reach out to App Owners to collect the Pool Ips for F5 additions if any to add ICMP traffic in AWS SG.</t>
  </si>
  <si>
    <t>Trianz N/W Team</t>
  </si>
  <si>
    <t>Send out an update to Peter and team to add the URL with node and Pool info 2 weeks in advance.</t>
  </si>
  <si>
    <t>Release the server to Application team and have them Verify</t>
  </si>
  <si>
    <t>App team to perform the  application configurations like Property files ,http.conif , jdbc.properties and Key, trust store</t>
  </si>
  <si>
    <t>Dependencies Validation
Check integrations with other systems/appsfor middleware configuration</t>
  </si>
  <si>
    <t xml:space="preserve">Enable Firewall to allow Traffic for Boomi component
</t>
  </si>
  <si>
    <t>Trianz Migration</t>
  </si>
  <si>
    <t>Pre-Cutover Task</t>
  </si>
  <si>
    <t>Target Instance Tag Information Validation (Backup Tag validation if applicable)</t>
  </si>
  <si>
    <t xml:space="preserve"> Application Team</t>
  </si>
  <si>
    <t>App team to perform the  application Validations like Property files,http.conif , jdbc.properties and Key, trust store</t>
  </si>
  <si>
    <t>Trianz Migration Team/ SRE Tier2</t>
  </si>
  <si>
    <t>BESclient - BigFix Agent  Validation</t>
  </si>
  <si>
    <t>Trianz Migration Team/ SRE Tier3</t>
  </si>
  <si>
    <t>Nessus Agent Validation</t>
  </si>
  <si>
    <t>Trianz Migration Team/ SRE Tier4</t>
  </si>
  <si>
    <t>CrowdStrike Falcon Sensor-Validation</t>
  </si>
  <si>
    <t>Validate SSm agent should be available on line in VMs</t>
  </si>
  <si>
    <t>Linux</t>
  </si>
  <si>
    <t>EFS mount volume validation in target instances if applicable</t>
  </si>
  <si>
    <t>Install Adot monitoring scripts on the migrated VMs</t>
  </si>
  <si>
    <t>Indicator(All/Specific)</t>
  </si>
  <si>
    <t>Activities</t>
  </si>
  <si>
    <t>Expected Duration(Mins)</t>
  </si>
  <si>
    <t>Actual Duration(Mins)</t>
  </si>
  <si>
    <t>Trainz Migration Team</t>
  </si>
  <si>
    <t>Change Window</t>
  </si>
  <si>
    <t>All</t>
  </si>
  <si>
    <t>Sequential-1</t>
  </si>
  <si>
    <t>Rename the host name in target as per source VM</t>
  </si>
  <si>
    <t>15 mins</t>
  </si>
  <si>
    <t>Sequential-2</t>
  </si>
  <si>
    <t>Intiate the final delta sync (Not Cutover)- Considering incremental data of 2GB</t>
  </si>
  <si>
    <t>30 mins</t>
  </si>
  <si>
    <t>Sequential-3</t>
  </si>
  <si>
    <t>Rename the target host name back to quinix naming standard(as previous target host name) and join the servers to domain</t>
  </si>
  <si>
    <t>20 mins</t>
  </si>
  <si>
    <t>App Team</t>
  </si>
  <si>
    <t>Parallel-1</t>
  </si>
  <si>
    <t>Disable the monitoring alerts  On prem VMs if any synthetic monitoring for URL</t>
  </si>
  <si>
    <t>Specific</t>
  </si>
  <si>
    <t>Stop Extraction Jobs/schedule Jobs and clear middleware Queues on source VMs</t>
  </si>
  <si>
    <t>Backup Team</t>
  </si>
  <si>
    <t>Disable the Backup of respective VM On Perm</t>
  </si>
  <si>
    <t>DB Team</t>
  </si>
  <si>
    <t>Cutover</t>
  </si>
  <si>
    <t xml:space="preserve">Stop the  DB and app services on Source VMs - Stop MsSql services, agent and SSIS services( 5 min Windows),Transaction logs backup for cluster and Always On( 30 mins Windows) Update Tablespace as read only, take final incremental backup, metadata backup( 30 mins - Oracle),Stop Httpd, Redis, Kafka, Elasticsearch and App servers from app side( 45 min)   </t>
  </si>
  <si>
    <t>Sequential-4</t>
  </si>
  <si>
    <t>Shutdown the source VMs</t>
  </si>
  <si>
    <t>5 mins</t>
  </si>
  <si>
    <t>Trainz/Linux Team</t>
  </si>
  <si>
    <t>Trigger AWS data sync(final delta sync) if App includes NFS filesystem - 30min interval for Delta</t>
  </si>
  <si>
    <t xml:space="preserve">App services - Stop Httpd, Redis, Kafka, Elasticsearch and etc from app side( 20 mins)   </t>
  </si>
  <si>
    <t>F5 team</t>
  </si>
  <si>
    <t>Sequential-5</t>
  </si>
  <si>
    <t>To point the traffic to AWS workloads bring the old Pool down and bring the new pool up with new hostnames and Ip address on the F5 LB.</t>
  </si>
  <si>
    <t>10 mins</t>
  </si>
  <si>
    <t>Post-Cutover task</t>
  </si>
  <si>
    <t>Sequential-6</t>
  </si>
  <si>
    <t>Update NFS filesystem on /etc/fstab on target instance in AWS to reflect EFS details</t>
  </si>
  <si>
    <t>Trianz/Monitoring Team</t>
  </si>
  <si>
    <t>Parallel-2</t>
  </si>
  <si>
    <t>Verify application instance health &amp; reporting on APM &amp; Monitoring tools</t>
  </si>
  <si>
    <t>Trainz/App Team</t>
  </si>
  <si>
    <t>Validatng upstream and down stream connectivity(dependent on number of upstream/downstream apps)</t>
  </si>
  <si>
    <t>Sequential-7</t>
  </si>
  <si>
    <t xml:space="preserve">Release the server to Application team and have them Verify </t>
  </si>
  <si>
    <t>AD Team</t>
  </si>
  <si>
    <t>Sequential-8</t>
  </si>
  <si>
    <t>Remove local account (trianzadmin) on AWS instance</t>
  </si>
  <si>
    <t>Sequential-9</t>
  </si>
  <si>
    <t xml:space="preserve">Validation  required antivirus/backup/monitoring scripts before we get sign off from </t>
  </si>
  <si>
    <t>Infosec Team</t>
  </si>
  <si>
    <t>linux/Windows</t>
  </si>
  <si>
    <t>Sequential-10</t>
  </si>
  <si>
    <t>Equnix infosec team sign off as per org security mandates</t>
  </si>
  <si>
    <t xml:space="preserve">Phase </t>
  </si>
  <si>
    <t>Roll Back Tasks (if needed)  - 45 Mins</t>
  </si>
  <si>
    <t>Application Server Roll back Steps</t>
  </si>
  <si>
    <t>N/A</t>
  </si>
  <si>
    <t>Application Rollback Steps</t>
  </si>
  <si>
    <t>Stop all application services on the target AWS Account.</t>
  </si>
  <si>
    <t>Yet to Start</t>
  </si>
  <si>
    <t>Shutdown the AWS instances.</t>
  </si>
  <si>
    <t>HIR</t>
  </si>
  <si>
    <t>Startup the Source servers.</t>
  </si>
  <si>
    <t>Connect to the Source Servers.</t>
  </si>
  <si>
    <t>Equinix</t>
  </si>
  <si>
    <t>Enable Source CIFS/NFS on-prem Shares</t>
  </si>
  <si>
    <t>Make the DNS Change A records point back to the On-Prem IP address.</t>
  </si>
  <si>
    <t>Database Server Roll back Steps</t>
  </si>
  <si>
    <t>Database Rollback Steps</t>
  </si>
  <si>
    <t>Stop all application services on the AWS target database.</t>
  </si>
  <si>
    <t>Server</t>
  </si>
  <si>
    <t>Parameter</t>
  </si>
  <si>
    <t>Value</t>
  </si>
  <si>
    <t>Source SLA (As per MGL)</t>
  </si>
  <si>
    <t>Storage Type ( Entry / Normal / Performance)</t>
  </si>
  <si>
    <t>vSphere Cluster Name</t>
  </si>
  <si>
    <t>vSphere DataStore  Name</t>
  </si>
  <si>
    <t xml:space="preserve">Site Affinity </t>
  </si>
  <si>
    <t>VLAN ID</t>
  </si>
  <si>
    <t>vSphere Network Portgroup Name</t>
  </si>
  <si>
    <t>DR Protection</t>
  </si>
  <si>
    <t>Move Group</t>
  </si>
  <si>
    <t>Application Name</t>
  </si>
  <si>
    <t>BU</t>
  </si>
  <si>
    <t>Host Name</t>
  </si>
  <si>
    <t>Source IP</t>
  </si>
  <si>
    <t>OS Type</t>
  </si>
  <si>
    <t>OS detatils</t>
  </si>
  <si>
    <t>Environment</t>
  </si>
  <si>
    <t>Discovery Status</t>
  </si>
  <si>
    <t>Owner Equinix</t>
  </si>
  <si>
    <t>Discovery Comments</t>
  </si>
  <si>
    <t>AR Status</t>
  </si>
  <si>
    <t>Pilot AR Shared to customer</t>
  </si>
  <si>
    <t>AR Name</t>
  </si>
  <si>
    <t>AR Comments</t>
  </si>
  <si>
    <t>User R-Strategy</t>
  </si>
  <si>
    <t>Online R-Strategy</t>
  </si>
  <si>
    <t>LZ Status</t>
  </si>
  <si>
    <t>Public / Private facing</t>
  </si>
  <si>
    <t>Concierto Plan ID</t>
  </si>
  <si>
    <t>Target HostName</t>
  </si>
  <si>
    <t>Target IP</t>
  </si>
  <si>
    <t>Migration Status(Completed /Failed)</t>
  </si>
  <si>
    <t>Migration Date(dd/mm/yy)</t>
  </si>
  <si>
    <t>Post Migration Status</t>
  </si>
  <si>
    <t>Migration Comments</t>
  </si>
  <si>
    <t>Target DNS</t>
  </si>
  <si>
    <t>Cutover Date Planned</t>
  </si>
  <si>
    <t>Cutover Actual</t>
  </si>
  <si>
    <t xml:space="preserve">Go-Live </t>
  </si>
  <si>
    <t>SV2WNAUTOQA03</t>
  </si>
  <si>
    <t>10.193.150.3</t>
  </si>
  <si>
    <t>Windows</t>
  </si>
  <si>
    <t>Microsoft Windows Server 2016 or later (64-bit)</t>
  </si>
  <si>
    <t>Quality Assurance</t>
  </si>
  <si>
    <t>Success</t>
  </si>
  <si>
    <t>Gopi Chand Tadiboyina (gchand)</t>
  </si>
  <si>
    <t>ASSMNT_EQUI_ACCELQ_QA_28JAN_REPORT</t>
  </si>
  <si>
    <t>Rehost</t>
  </si>
  <si>
    <t>Completed</t>
  </si>
  <si>
    <t>Private</t>
  </si>
  <si>
    <t>CM-PL-EQUI95</t>
  </si>
  <si>
    <t>AE2WNAUTOQA03</t>
  </si>
  <si>
    <t>10.218.232.20</t>
  </si>
  <si>
    <t>Done</t>
  </si>
  <si>
    <t>Source</t>
  </si>
  <si>
    <t>Destination</t>
  </si>
  <si>
    <t>Protocol</t>
  </si>
  <si>
    <t>Port Numbers</t>
  </si>
  <si>
    <t>Time</t>
  </si>
  <si>
    <t>Direction</t>
  </si>
  <si>
    <t>Justification</t>
  </si>
  <si>
    <t>OS</t>
  </si>
  <si>
    <t>Hostname of source</t>
  </si>
  <si>
    <t>Hostname of destination</t>
  </si>
  <si>
    <t>Port protocol</t>
  </si>
  <si>
    <t>Bi-directional/Uni-directional</t>
  </si>
  <si>
    <t>Company</t>
  </si>
  <si>
    <t>ROLE/ Description</t>
  </si>
  <si>
    <t>Name</t>
  </si>
  <si>
    <t>E-mail address</t>
  </si>
  <si>
    <t>Application Architect</t>
  </si>
  <si>
    <t>Technical Product Owner</t>
  </si>
  <si>
    <t>Engineering Lead</t>
  </si>
  <si>
    <t>Technical Program Manager</t>
  </si>
  <si>
    <t>Porgram Sponsor</t>
  </si>
  <si>
    <t>Change Management Lead</t>
  </si>
  <si>
    <t>Server Specialist</t>
  </si>
  <si>
    <t>Test Lead</t>
  </si>
  <si>
    <t>Program Management</t>
  </si>
  <si>
    <t>Delivery Manager</t>
  </si>
  <si>
    <t>Platform Deployment Lead</t>
  </si>
  <si>
    <t>Infra Architect</t>
  </si>
  <si>
    <t>D&amp;A Lead</t>
  </si>
  <si>
    <t>Application Migration delivery Lead</t>
  </si>
  <si>
    <t>Concierto Eng. Lead</t>
  </si>
  <si>
    <t>Feedback</t>
  </si>
  <si>
    <t xml:space="preserve">Raised by </t>
  </si>
  <si>
    <t>Raised on</t>
  </si>
  <si>
    <t xml:space="preserve">plan of Action </t>
  </si>
  <si>
    <t xml:space="preserve">Action Owner </t>
  </si>
  <si>
    <t>Action Status</t>
  </si>
  <si>
    <t>Area</t>
  </si>
  <si>
    <t>Compute</t>
  </si>
  <si>
    <t>Cluster</t>
  </si>
  <si>
    <t>Netwrok/Security</t>
  </si>
  <si>
    <t xml:space="preserve">Storage </t>
  </si>
  <si>
    <t>Database</t>
  </si>
  <si>
    <t>Data Columns</t>
  </si>
  <si>
    <t>Host ID</t>
  </si>
  <si>
    <t>Hosted ESX version</t>
  </si>
  <si>
    <t>OS Version Detail</t>
  </si>
  <si>
    <t>OS Service Pack</t>
  </si>
  <si>
    <t>Server Domain Name with FQDN</t>
  </si>
  <si>
    <t>Server Model(DL380/BL490/Others)</t>
  </si>
  <si>
    <t>Any additional HBA/PCI Cards etc (only for Physical servers)</t>
  </si>
  <si>
    <t>CPU Type</t>
  </si>
  <si>
    <t>CPU Clock speed</t>
  </si>
  <si>
    <t>Virtual/logical CPU</t>
  </si>
  <si>
    <t>Physical CPU</t>
  </si>
  <si>
    <t>Memory (MB)</t>
  </si>
  <si>
    <t>Does it have DR node in other DC, if yes, pls mention DR node name</t>
  </si>
  <si>
    <t>Is this Server HA/Cluster with other servers(Y/N)</t>
  </si>
  <si>
    <t>HA/Cluster Nodes Name</t>
  </si>
  <si>
    <t>Cluster IP</t>
  </si>
  <si>
    <t>Trusted/DMZ (Network Classification)</t>
  </si>
  <si>
    <t>WAN accelerators</t>
  </si>
  <si>
    <t>Firewall ports</t>
  </si>
  <si>
    <t>Default routing, NAT</t>
  </si>
  <si>
    <t>Data Privacy(Black/Gray/White)</t>
  </si>
  <si>
    <t>Sub netmask</t>
  </si>
  <si>
    <t>Default IP Gateway</t>
  </si>
  <si>
    <t>Management IP</t>
  </si>
  <si>
    <t>iLO IP</t>
  </si>
  <si>
    <t>Security Zone(iNetDMZ, High security zone, Black Security Zone, Stanadard Security Zone, 3rd Party Zone)</t>
  </si>
  <si>
    <t>Loadbalanced (Y/N)</t>
  </si>
  <si>
    <t>If loadbalanced is Yes - LB IP</t>
  </si>
  <si>
    <t>If loadbalanced is Yes. Please provide details of  URL,LB policy etc..</t>
  </si>
  <si>
    <t>Internal Firewall Rules Details (Source IP,Source Zone,Port,Protocols etc..)</t>
  </si>
  <si>
    <t>Soruce port</t>
  </si>
  <si>
    <t>Destination port</t>
  </si>
  <si>
    <t>VLAN/VRT's</t>
  </si>
  <si>
    <t>OS Disk Size (GB)</t>
  </si>
  <si>
    <t xml:space="preserve">Disk Mapping(C:, D: E: drives etc) </t>
  </si>
  <si>
    <t>Allocated storage (GB)</t>
  </si>
  <si>
    <t>Used Storage (GB)</t>
  </si>
  <si>
    <t xml:space="preserve">R1-Storage </t>
  </si>
  <si>
    <t>R5-Storage</t>
  </si>
  <si>
    <t>R6-Storage</t>
  </si>
  <si>
    <t>R1-Replicated</t>
  </si>
  <si>
    <t>R5-Replicated</t>
  </si>
  <si>
    <t>R6-Replicated</t>
  </si>
  <si>
    <t>Storage Tier (T0,T1,T2,T3)</t>
  </si>
  <si>
    <t>Database ID</t>
  </si>
  <si>
    <t>DB Name</t>
  </si>
  <si>
    <t>DB Description</t>
  </si>
  <si>
    <t>SID or Cluster Name</t>
  </si>
  <si>
    <t>App ID &amp; Server Name using this DB</t>
  </si>
  <si>
    <t>DB Version</t>
  </si>
  <si>
    <t>DB Clustering details</t>
  </si>
  <si>
    <t>DB Size</t>
  </si>
  <si>
    <t>Database license Type (CPU/User etc..)</t>
  </si>
  <si>
    <t>Rate of data change</t>
  </si>
  <si>
    <t>DxC</t>
  </si>
  <si>
    <t>Infosys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</si>
</sst>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_-* #,##0.00_-;\-* #,##0.00_-;_-* &quot;-&quot;??_-;_-@_-"/>
    <numFmt numFmtId="165" formatCode="m/d/yy;@"/>
    <numFmt numFmtId="166" formatCode="h:mm;@"/>
    <numFmt numFmtId="167" formatCode="m/d/yy\ h:mm;@"/>
    <numFmt numFmtId="168" formatCode="dd/mm/yyyy;@"/>
    <numFmt numFmtId="169" formatCode="[$-409]d\-mmm\-yy;@"/>
  </numFmts>
  <fonts count="80">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0"/>
      <name val="Arial"/>
      <family val="2"/>
    </font>
    <font>
      <sz val="8"/>
      <name val="Calibri"/>
      <family val="2"/>
      <scheme val="minor"/>
    </font>
    <font>
      <b/>
      <sz val="10"/>
      <color theme="4" tint="-0.499984740745262"/>
      <name val="Arial"/>
      <family val="2"/>
    </font>
    <font>
      <sz val="9"/>
      <color indexed="81"/>
      <name val="Tahoma"/>
      <family val="2"/>
    </font>
    <font>
      <b/>
      <sz val="9"/>
      <color indexed="81"/>
      <name val="Tahoma"/>
      <family val="2"/>
    </font>
    <font>
      <b/>
      <sz val="11"/>
      <color rgb="FF002060"/>
      <name val="Calibri"/>
      <family val="2"/>
      <scheme val="minor"/>
    </font>
    <font>
      <sz val="11"/>
      <color rgb="FF002060"/>
      <name val="Calibri"/>
      <family val="2"/>
      <scheme val="minor"/>
    </font>
    <font>
      <u/>
      <sz val="10"/>
      <color theme="10"/>
      <name val="Arial"/>
      <family val="2"/>
    </font>
    <font>
      <b/>
      <sz val="9"/>
      <name val="Segoe UI Symbol"/>
      <family val="2"/>
    </font>
    <font>
      <sz val="9"/>
      <color theme="1"/>
      <name val="Segoe UI Symbol"/>
      <family val="2"/>
    </font>
    <font>
      <sz val="9"/>
      <name val="Segoe UI Symbol"/>
      <family val="2"/>
    </font>
    <font>
      <b/>
      <sz val="9"/>
      <color theme="1"/>
      <name val="Segoe UI Symbol"/>
      <family val="2"/>
    </font>
    <font>
      <sz val="9"/>
      <color rgb="FF000000"/>
      <name val="Segoe UI Symbol"/>
      <family val="2"/>
    </font>
    <font>
      <sz val="9"/>
      <color rgb="FFFF0000"/>
      <name val="Segoe UI Symbol"/>
      <family val="2"/>
    </font>
    <font>
      <sz val="10"/>
      <name val="Helv"/>
      <charset val="204"/>
    </font>
    <font>
      <sz val="10"/>
      <color indexed="56"/>
      <name val="Arial"/>
      <family val="2"/>
    </font>
    <font>
      <b/>
      <sz val="18"/>
      <color indexed="56"/>
      <name val="Arial"/>
      <family val="2"/>
    </font>
    <font>
      <sz val="10"/>
      <color theme="0"/>
      <name val="Helv"/>
      <charset val="204"/>
    </font>
    <font>
      <sz val="11"/>
      <color rgb="FF000000"/>
      <name val="Calibri"/>
      <family val="2"/>
      <scheme val="minor"/>
    </font>
    <font>
      <sz val="11"/>
      <color theme="1"/>
      <name val="Arial"/>
      <family val="2"/>
    </font>
    <font>
      <u/>
      <sz val="7.5"/>
      <color indexed="12"/>
      <name val="Arial"/>
      <family val="2"/>
    </font>
    <font>
      <u/>
      <sz val="12"/>
      <color indexed="12"/>
      <name val="Arial"/>
      <family val="2"/>
    </font>
    <font>
      <b/>
      <sz val="12"/>
      <color indexed="18"/>
      <name val="Arial"/>
      <family val="2"/>
    </font>
    <font>
      <b/>
      <sz val="12"/>
      <name val="Arial"/>
      <family val="2"/>
    </font>
    <font>
      <b/>
      <sz val="10"/>
      <name val="Arial"/>
      <family val="2"/>
    </font>
    <font>
      <sz val="10"/>
      <color indexed="9"/>
      <name val="Arial"/>
      <family val="2"/>
    </font>
    <font>
      <b/>
      <sz val="10"/>
      <color indexed="9"/>
      <name val="Arial"/>
      <family val="2"/>
    </font>
    <font>
      <b/>
      <sz val="14"/>
      <name val="Arial"/>
      <family val="2"/>
    </font>
    <font>
      <b/>
      <sz val="20"/>
      <name val="Arial"/>
      <family val="2"/>
    </font>
    <font>
      <b/>
      <sz val="11"/>
      <name val="Arial"/>
      <family val="2"/>
    </font>
    <font>
      <u/>
      <sz val="7.5"/>
      <color theme="0"/>
      <name val="Arial"/>
      <family val="2"/>
    </font>
    <font>
      <b/>
      <sz val="18"/>
      <name val="Arial"/>
      <family val="2"/>
    </font>
    <font>
      <b/>
      <sz val="10"/>
      <color theme="0"/>
      <name val="Arial"/>
      <family val="2"/>
    </font>
    <font>
      <sz val="10"/>
      <color theme="0"/>
      <name val="Arial"/>
      <family val="2"/>
    </font>
    <font>
      <b/>
      <sz val="14"/>
      <color theme="0"/>
      <name val="Arial"/>
      <family val="2"/>
    </font>
    <font>
      <b/>
      <sz val="9"/>
      <color theme="0"/>
      <name val="Segoe UI Symbol"/>
      <family val="2"/>
    </font>
    <font>
      <b/>
      <sz val="24"/>
      <color theme="0"/>
      <name val="Arial"/>
      <family val="2"/>
    </font>
    <font>
      <b/>
      <u/>
      <sz val="7.5"/>
      <color theme="0"/>
      <name val="Arial"/>
      <family val="2"/>
    </font>
    <font>
      <b/>
      <sz val="9"/>
      <color theme="0"/>
      <name val="Calibri"/>
      <family val="2"/>
      <scheme val="minor"/>
    </font>
    <font>
      <b/>
      <sz val="9"/>
      <color rgb="FFFFFFFF"/>
      <name val="Calibri"/>
      <family val="2"/>
    </font>
    <font>
      <u/>
      <sz val="12"/>
      <color indexed="12"/>
      <name val="Calibri"/>
      <family val="2"/>
      <scheme val="minor"/>
    </font>
    <font>
      <sz val="10"/>
      <color theme="1"/>
      <name val="Arial"/>
      <family val="2"/>
    </font>
    <font>
      <sz val="8"/>
      <color theme="1"/>
      <name val="Arial"/>
      <family val="2"/>
    </font>
    <font>
      <b/>
      <sz val="8"/>
      <color theme="1"/>
      <name val="Calibri"/>
      <family val="2"/>
      <scheme val="minor"/>
    </font>
    <font>
      <b/>
      <sz val="11"/>
      <color theme="0"/>
      <name val="Calibri"/>
      <family val="2"/>
      <scheme val="minor"/>
    </font>
    <font>
      <sz val="11"/>
      <color indexed="8"/>
      <name val="Calibri"/>
      <family val="2"/>
      <scheme val="minor"/>
    </font>
    <font>
      <b/>
      <sz val="24"/>
      <color theme="0"/>
      <name val="Calibri"/>
      <family val="2"/>
      <scheme val="minor"/>
    </font>
    <font>
      <b/>
      <sz val="20"/>
      <name val="Calibri"/>
      <family val="2"/>
      <scheme val="minor"/>
    </font>
    <font>
      <u/>
      <sz val="11"/>
      <color theme="10"/>
      <name val="Calibri"/>
      <family val="2"/>
      <scheme val="minor"/>
    </font>
    <font>
      <sz val="12"/>
      <color theme="1"/>
      <name val="Calibri"/>
      <family val="2"/>
      <scheme val="minor"/>
    </font>
    <font>
      <sz val="10"/>
      <color rgb="FF000000"/>
      <name val="Calibri"/>
      <family val="2"/>
      <scheme val="minor"/>
    </font>
    <font>
      <b/>
      <sz val="10"/>
      <color theme="1"/>
      <name val="Calibri"/>
      <family val="2"/>
      <scheme val="minor"/>
    </font>
    <font>
      <sz val="10"/>
      <color theme="1"/>
      <name val="Calibri"/>
      <family val="2"/>
      <scheme val="minor"/>
    </font>
    <font>
      <b/>
      <sz val="9"/>
      <color rgb="FF000000"/>
      <name val="Segoe UI Symbol"/>
      <family val="2"/>
    </font>
    <font>
      <sz val="11"/>
      <color rgb="FF000000"/>
      <name val="Aptos Narrow"/>
      <family val="2"/>
    </font>
    <font>
      <sz val="11"/>
      <color theme="1"/>
      <name val="Aptos"/>
      <family val="2"/>
    </font>
    <font>
      <strike/>
      <sz val="11"/>
      <color rgb="FFFF0000"/>
      <name val="Calibri"/>
      <family val="2"/>
      <scheme val="minor"/>
    </font>
    <font>
      <strike/>
      <sz val="11"/>
      <color rgb="FFFF0000"/>
      <name val="Aptos Narrow"/>
      <family val="2"/>
    </font>
    <font>
      <sz val="11"/>
      <color theme="1"/>
      <name val="Calibri"/>
      <family val="2"/>
    </font>
    <font>
      <sz val="10"/>
      <color rgb="FF000000"/>
      <name val="Aptos Narrow"/>
      <family val="2"/>
    </font>
    <font>
      <sz val="9"/>
      <name val="Arial"/>
      <family val="2"/>
    </font>
    <font>
      <b/>
      <sz val="9"/>
      <name val="Arial"/>
      <family val="2"/>
    </font>
    <font>
      <b/>
      <sz val="11"/>
      <color rgb="FF000000"/>
      <name val="Calibri"/>
      <family val="2"/>
      <scheme val="minor"/>
    </font>
    <font>
      <b/>
      <sz val="9"/>
      <color indexed="10"/>
      <name val="Arial"/>
      <family val="2"/>
    </font>
    <font>
      <sz val="9"/>
      <color theme="1"/>
      <name val="Arial"/>
      <family val="2"/>
    </font>
    <font>
      <b/>
      <sz val="12"/>
      <color theme="0"/>
      <name val="Segoe UI Symbol"/>
      <family val="2"/>
    </font>
    <font>
      <b/>
      <sz val="12"/>
      <color theme="1"/>
      <name val="Calibri"/>
      <family val="2"/>
      <scheme val="minor"/>
    </font>
    <font>
      <sz val="12"/>
      <color theme="0"/>
      <name val="Segoe UI Symbol"/>
      <family val="2"/>
    </font>
    <font>
      <sz val="12"/>
      <color theme="1"/>
      <name val="Segoe UI Symbol"/>
      <family val="2"/>
    </font>
    <font>
      <sz val="12"/>
      <name val="Segoe UI Symbol"/>
      <family val="2"/>
    </font>
    <font>
      <b/>
      <sz val="12"/>
      <name val="Segoe UI Symbol"/>
      <family val="2"/>
    </font>
    <font>
      <sz val="12"/>
      <color rgb="FF000000"/>
      <name val="Segoe UI Symbol"/>
      <family val="2"/>
    </font>
    <font>
      <b/>
      <sz val="12"/>
      <color rgb="FF000000"/>
      <name val="Segoe UI Symbol"/>
      <family val="2"/>
    </font>
    <font>
      <sz val="12"/>
      <name val="Arial"/>
      <family val="2"/>
    </font>
    <font>
      <b/>
      <sz val="12"/>
      <color indexed="10"/>
      <name val="Arial"/>
      <family val="2"/>
    </font>
  </fonts>
  <fills count="29">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00FFFF"/>
        <bgColor indexed="64"/>
      </patternFill>
    </fill>
    <fill>
      <patternFill patternType="solid">
        <fgColor indexed="22"/>
        <bgColor indexed="64"/>
      </patternFill>
    </fill>
    <fill>
      <patternFill patternType="solid">
        <fgColor indexed="9"/>
        <bgColor indexed="64"/>
      </patternFill>
    </fill>
    <fill>
      <patternFill patternType="solid">
        <fgColor rgb="FF00B0F0"/>
        <bgColor indexed="64"/>
      </patternFill>
    </fill>
    <fill>
      <patternFill patternType="solid">
        <fgColor rgb="FFFFFFCC"/>
        <bgColor indexed="64"/>
      </patternFill>
    </fill>
    <fill>
      <patternFill patternType="solid">
        <fgColor rgb="FFFFFF66"/>
        <bgColor indexed="64"/>
      </patternFill>
    </fill>
    <fill>
      <patternFill patternType="solid">
        <fgColor theme="3"/>
        <bgColor indexed="64"/>
      </patternFill>
    </fill>
    <fill>
      <patternFill patternType="solid">
        <fgColor indexed="8"/>
        <bgColor indexed="64"/>
      </patternFill>
    </fill>
    <fill>
      <patternFill patternType="solid">
        <fgColor indexed="62"/>
        <bgColor indexed="64"/>
      </patternFill>
    </fill>
    <fill>
      <patternFill patternType="solid">
        <fgColor rgb="FF0070C0"/>
        <bgColor indexed="64"/>
      </patternFill>
    </fill>
    <fill>
      <patternFill patternType="solid">
        <fgColor rgb="FFDEFCFE"/>
        <bgColor indexed="64"/>
      </patternFill>
    </fill>
    <fill>
      <patternFill patternType="solid">
        <fgColor rgb="FFBFBFBF"/>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FFFFF"/>
        <bgColor rgb="FF000000"/>
      </patternFill>
    </fill>
    <fill>
      <patternFill patternType="solid">
        <fgColor rgb="FFB4C6E7"/>
        <bgColor rgb="FF000000"/>
      </patternFill>
    </fill>
    <fill>
      <patternFill patternType="solid">
        <fgColor rgb="FFFFF2CC"/>
        <bgColor rgb="FF000000"/>
      </patternFill>
    </fill>
    <fill>
      <patternFill patternType="solid">
        <fgColor rgb="FFFFFF00"/>
        <bgColor rgb="FF000000"/>
      </patternFill>
    </fill>
    <fill>
      <patternFill patternType="solid">
        <fgColor rgb="FF00B050"/>
        <bgColor rgb="FF000000"/>
      </patternFill>
    </fill>
  </fills>
  <borders count="58">
    <border>
      <left/>
      <right/>
      <top/>
      <bottom/>
      <diagonal/>
    </border>
    <border diagonalUp="1" diagonalDown="1">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style="thin">
        <color rgb="FF000000"/>
      </left>
      <right/>
      <top style="thin">
        <color rgb="FF000000"/>
      </top>
      <bottom/>
      <diagonal/>
    </border>
    <border>
      <left/>
      <right style="thin">
        <color rgb="FF000000"/>
      </right>
      <top style="thin">
        <color rgb="FF000000"/>
      </top>
      <bottom/>
      <diagonal/>
    </border>
  </borders>
  <cellStyleXfs count="17">
    <xf numFmtId="0" fontId="0" fillId="0" borderId="0"/>
    <xf numFmtId="0" fontId="5" fillId="0" borderId="1" quotePrefix="1">
      <alignment horizontal="justify" vertical="justify" textRotation="127" wrapText="1" justifyLastLine="1"/>
      <protection hidden="1"/>
    </xf>
    <xf numFmtId="0" fontId="5" fillId="0" borderId="0"/>
    <xf numFmtId="0" fontId="1" fillId="0" borderId="0"/>
    <xf numFmtId="0" fontId="1" fillId="0" borderId="0"/>
    <xf numFmtId="43" fontId="5" fillId="0" borderId="0" applyFont="0" applyFill="0" applyBorder="0" applyAlignment="0" applyProtection="0"/>
    <xf numFmtId="0" fontId="5" fillId="0" borderId="0"/>
    <xf numFmtId="0" fontId="1" fillId="0" borderId="0"/>
    <xf numFmtId="0" fontId="1" fillId="0" borderId="0"/>
    <xf numFmtId="0" fontId="12" fillId="0" borderId="0" applyNumberFormat="0" applyFill="0" applyBorder="0" applyAlignment="0" applyProtection="0"/>
    <xf numFmtId="0" fontId="19" fillId="0" borderId="0"/>
    <xf numFmtId="0" fontId="25" fillId="0" borderId="0" applyNumberFormat="0" applyFill="0" applyBorder="0" applyAlignment="0" applyProtection="0">
      <alignment vertical="top"/>
      <protection locked="0"/>
    </xf>
    <xf numFmtId="0" fontId="5" fillId="0" borderId="0"/>
    <xf numFmtId="0" fontId="25" fillId="0" borderId="0" applyNumberFormat="0" applyFill="0" applyBorder="0" applyAlignment="0" applyProtection="0">
      <alignment vertical="top"/>
      <protection locked="0"/>
    </xf>
    <xf numFmtId="164" fontId="5" fillId="0" borderId="0" applyFont="0" applyFill="0" applyBorder="0" applyAlignment="0" applyProtection="0"/>
    <xf numFmtId="0" fontId="53" fillId="0" borderId="0" applyNumberFormat="0" applyFill="0" applyBorder="0" applyAlignment="0" applyProtection="0"/>
    <xf numFmtId="0" fontId="54" fillId="0" borderId="0"/>
  </cellStyleXfs>
  <cellXfs count="403">
    <xf numFmtId="0" fontId="0" fillId="0" borderId="0" xfId="0"/>
    <xf numFmtId="0" fontId="4" fillId="2" borderId="2" xfId="0" applyFont="1" applyFill="1" applyBorder="1" applyAlignment="1" applyProtection="1">
      <alignment horizontal="left" vertical="top" wrapText="1"/>
      <protection locked="0"/>
    </xf>
    <xf numFmtId="0" fontId="4" fillId="2" borderId="2" xfId="0" applyFont="1" applyFill="1" applyBorder="1" applyAlignment="1" applyProtection="1">
      <alignment horizontal="center" vertical="top" wrapText="1"/>
      <protection locked="0"/>
    </xf>
    <xf numFmtId="0" fontId="3" fillId="7" borderId="2"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0" fillId="0" borderId="0" xfId="0" applyAlignment="1">
      <alignment horizontal="center" vertical="center"/>
    </xf>
    <xf numFmtId="0" fontId="7" fillId="7" borderId="6"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7" fillId="8" borderId="6" xfId="0" applyFont="1" applyFill="1" applyBorder="1" applyAlignment="1">
      <alignment horizontal="center" vertical="center" wrapText="1"/>
    </xf>
    <xf numFmtId="0" fontId="7" fillId="10" borderId="6" xfId="0" applyFont="1" applyFill="1" applyBorder="1" applyAlignment="1">
      <alignment horizontal="center" vertical="center" wrapText="1"/>
    </xf>
    <xf numFmtId="0" fontId="0" fillId="0" borderId="2" xfId="0" applyBorder="1"/>
    <xf numFmtId="1" fontId="0" fillId="0" borderId="0" xfId="0" applyNumberFormat="1"/>
    <xf numFmtId="0" fontId="10" fillId="3" borderId="2" xfId="0" applyFont="1" applyFill="1" applyBorder="1"/>
    <xf numFmtId="0" fontId="10" fillId="0" borderId="2" xfId="0" applyFont="1" applyBorder="1"/>
    <xf numFmtId="0" fontId="11" fillId="0" borderId="2" xfId="0" applyFont="1" applyBorder="1"/>
    <xf numFmtId="0" fontId="14" fillId="0" borderId="0" xfId="0" applyFont="1"/>
    <xf numFmtId="1" fontId="13" fillId="11" borderId="2" xfId="5" applyNumberFormat="1" applyFont="1" applyFill="1" applyBorder="1" applyAlignment="1">
      <alignment horizontal="center" vertical="center"/>
    </xf>
    <xf numFmtId="43" fontId="13" fillId="11" borderId="2" xfId="5" applyFont="1" applyFill="1" applyBorder="1" applyAlignment="1">
      <alignment horizontal="left" vertical="center" wrapText="1"/>
    </xf>
    <xf numFmtId="0" fontId="15" fillId="11" borderId="2" xfId="5" applyNumberFormat="1" applyFont="1" applyFill="1" applyBorder="1" applyAlignment="1">
      <alignment horizontal="center" vertical="center"/>
    </xf>
    <xf numFmtId="43" fontId="13" fillId="11" borderId="2" xfId="5" applyFont="1" applyFill="1" applyBorder="1" applyAlignment="1">
      <alignment horizontal="left" vertical="top" wrapText="1"/>
    </xf>
    <xf numFmtId="3" fontId="13" fillId="11" borderId="2" xfId="5" applyNumberFormat="1" applyFont="1" applyFill="1" applyBorder="1" applyAlignment="1">
      <alignment horizontal="center" vertical="center" wrapText="1"/>
    </xf>
    <xf numFmtId="43" fontId="13" fillId="11" borderId="2" xfId="5" applyFont="1" applyFill="1" applyBorder="1" applyAlignment="1">
      <alignment horizontal="left" vertical="center"/>
    </xf>
    <xf numFmtId="43" fontId="15" fillId="11" borderId="2" xfId="5" applyFont="1" applyFill="1" applyBorder="1" applyAlignment="1">
      <alignment horizontal="left" vertical="center"/>
    </xf>
    <xf numFmtId="1" fontId="15" fillId="2" borderId="2" xfId="5" applyNumberFormat="1" applyFont="1" applyFill="1" applyBorder="1" applyAlignment="1">
      <alignment horizontal="center" vertical="center"/>
    </xf>
    <xf numFmtId="43" fontId="13" fillId="0" borderId="2" xfId="5" applyFont="1" applyFill="1" applyBorder="1" applyAlignment="1">
      <alignment horizontal="center" vertical="center"/>
    </xf>
    <xf numFmtId="0" fontId="14" fillId="0" borderId="2" xfId="5" applyNumberFormat="1" applyFont="1" applyFill="1" applyBorder="1" applyAlignment="1">
      <alignment horizontal="center" vertical="center"/>
    </xf>
    <xf numFmtId="0" fontId="15" fillId="2" borderId="2" xfId="3" applyFont="1" applyFill="1" applyBorder="1" applyAlignment="1" applyProtection="1">
      <alignment horizontal="left" vertical="top" wrapText="1"/>
      <protection locked="0"/>
    </xf>
    <xf numFmtId="43" fontId="13" fillId="0" borderId="2" xfId="5" applyFont="1" applyFill="1" applyBorder="1" applyAlignment="1">
      <alignment horizontal="center" vertical="center" wrapText="1"/>
    </xf>
    <xf numFmtId="0" fontId="15" fillId="12" borderId="2" xfId="6" applyFont="1" applyFill="1" applyBorder="1" applyAlignment="1">
      <alignment horizontal="center" vertical="center" wrapText="1"/>
    </xf>
    <xf numFmtId="43" fontId="15" fillId="11" borderId="2" xfId="5" applyFont="1" applyFill="1" applyBorder="1" applyAlignment="1">
      <alignment horizontal="left" vertical="center" wrapText="1"/>
    </xf>
    <xf numFmtId="3" fontId="13" fillId="11" borderId="2" xfId="5" applyNumberFormat="1" applyFont="1" applyFill="1" applyBorder="1" applyAlignment="1">
      <alignment horizontal="center" vertical="center"/>
    </xf>
    <xf numFmtId="49" fontId="13" fillId="11" borderId="2" xfId="5" applyNumberFormat="1" applyFont="1" applyFill="1" applyBorder="1" applyAlignment="1">
      <alignment horizontal="center" vertical="center"/>
    </xf>
    <xf numFmtId="43" fontId="13" fillId="0" borderId="2" xfId="5" applyFont="1" applyFill="1" applyBorder="1" applyAlignment="1">
      <alignment horizontal="left" vertical="center" wrapText="1"/>
    </xf>
    <xf numFmtId="0" fontId="15" fillId="0" borderId="2" xfId="0" applyFont="1" applyBorder="1"/>
    <xf numFmtId="0" fontId="14" fillId="0" borderId="2" xfId="0" applyFont="1" applyBorder="1" applyAlignment="1">
      <alignment vertical="center"/>
    </xf>
    <xf numFmtId="0" fontId="14" fillId="0" borderId="2" xfId="0" applyFont="1" applyBorder="1" applyAlignment="1">
      <alignment horizontal="center"/>
    </xf>
    <xf numFmtId="0" fontId="14" fillId="0" borderId="2" xfId="0" applyFont="1" applyBorder="1"/>
    <xf numFmtId="0" fontId="14" fillId="2" borderId="2" xfId="0" applyFont="1" applyFill="1" applyBorder="1" applyAlignment="1">
      <alignment horizontal="center"/>
    </xf>
    <xf numFmtId="0" fontId="14" fillId="0" borderId="2" xfId="0" applyFont="1" applyBorder="1" applyAlignment="1">
      <alignment horizontal="center" vertical="center"/>
    </xf>
    <xf numFmtId="3" fontId="13" fillId="2" borderId="2" xfId="5" applyNumberFormat="1" applyFont="1" applyFill="1" applyBorder="1" applyAlignment="1">
      <alignment horizontal="center" vertical="center"/>
    </xf>
    <xf numFmtId="0" fontId="14" fillId="0" borderId="0" xfId="0" applyFont="1" applyAlignment="1">
      <alignment horizontal="center"/>
    </xf>
    <xf numFmtId="43" fontId="15" fillId="11" borderId="2" xfId="5" applyFont="1" applyFill="1" applyBorder="1" applyAlignment="1">
      <alignment horizontal="center" vertical="top" wrapText="1"/>
    </xf>
    <xf numFmtId="43" fontId="13" fillId="11" borderId="2" xfId="5" applyFont="1" applyFill="1" applyBorder="1" applyAlignment="1">
      <alignment horizontal="center" vertical="top" wrapText="1"/>
    </xf>
    <xf numFmtId="1" fontId="17" fillId="6" borderId="2" xfId="8" applyNumberFormat="1" applyFont="1" applyFill="1" applyBorder="1" applyAlignment="1">
      <alignment horizontal="center" vertical="center" wrapText="1"/>
    </xf>
    <xf numFmtId="0" fontId="14" fillId="0" borderId="2" xfId="0" quotePrefix="1" applyFont="1" applyBorder="1"/>
    <xf numFmtId="1" fontId="13" fillId="11" borderId="2" xfId="5" applyNumberFormat="1" applyFont="1" applyFill="1" applyBorder="1" applyAlignment="1">
      <alignment horizontal="center" vertical="top" wrapText="1"/>
    </xf>
    <xf numFmtId="0" fontId="14" fillId="0" borderId="0" xfId="0" applyFont="1" applyAlignment="1">
      <alignment vertical="center" wrapText="1"/>
    </xf>
    <xf numFmtId="166" fontId="13" fillId="0" borderId="2" xfId="5" applyNumberFormat="1" applyFont="1" applyFill="1" applyBorder="1" applyAlignment="1">
      <alignment horizontal="center" vertical="center" wrapText="1"/>
    </xf>
    <xf numFmtId="0" fontId="14" fillId="2" borderId="2" xfId="5" applyNumberFormat="1" applyFont="1" applyFill="1" applyBorder="1" applyAlignment="1">
      <alignment horizontal="center" vertical="center" wrapText="1"/>
    </xf>
    <xf numFmtId="1" fontId="15" fillId="0" borderId="2" xfId="5" applyNumberFormat="1" applyFont="1" applyFill="1" applyBorder="1" applyAlignment="1">
      <alignment horizontal="center" vertical="center"/>
    </xf>
    <xf numFmtId="1" fontId="14" fillId="0" borderId="2" xfId="0" applyNumberFormat="1" applyFont="1" applyBorder="1" applyAlignment="1">
      <alignment horizontal="center" vertical="center"/>
    </xf>
    <xf numFmtId="1" fontId="15" fillId="2" borderId="2" xfId="5" applyNumberFormat="1" applyFont="1" applyFill="1" applyBorder="1" applyAlignment="1">
      <alignment horizontal="center" vertical="center" wrapText="1"/>
    </xf>
    <xf numFmtId="0" fontId="17" fillId="0" borderId="2" xfId="0" applyFont="1" applyBorder="1" applyAlignment="1">
      <alignment horizontal="center" vertical="center" wrapText="1"/>
    </xf>
    <xf numFmtId="43" fontId="15" fillId="0" borderId="2" xfId="5" applyFont="1" applyFill="1" applyBorder="1" applyAlignment="1">
      <alignment horizontal="center" vertical="center"/>
    </xf>
    <xf numFmtId="0" fontId="13" fillId="13" borderId="0" xfId="0" applyFont="1" applyFill="1" applyAlignment="1">
      <alignment horizontal="center"/>
    </xf>
    <xf numFmtId="0" fontId="14" fillId="7" borderId="2" xfId="0" applyFont="1" applyFill="1" applyBorder="1" applyAlignment="1">
      <alignment horizontal="center"/>
    </xf>
    <xf numFmtId="43" fontId="13" fillId="0" borderId="0" xfId="5" applyFont="1" applyFill="1" applyBorder="1" applyAlignment="1">
      <alignment horizontal="center" vertical="center" wrapText="1"/>
    </xf>
    <xf numFmtId="0" fontId="15" fillId="7" borderId="2" xfId="5" applyNumberFormat="1" applyFont="1" applyFill="1" applyBorder="1" applyAlignment="1">
      <alignment horizontal="center" vertical="center" wrapText="1"/>
    </xf>
    <xf numFmtId="0" fontId="14" fillId="7" borderId="2" xfId="5" applyNumberFormat="1" applyFont="1" applyFill="1" applyBorder="1" applyAlignment="1">
      <alignment horizontal="center" vertical="center" wrapText="1"/>
    </xf>
    <xf numFmtId="1" fontId="17" fillId="0" borderId="2" xfId="8" applyNumberFormat="1" applyFont="1" applyBorder="1" applyAlignment="1">
      <alignment horizontal="center" vertical="center" wrapText="1"/>
    </xf>
    <xf numFmtId="0" fontId="15" fillId="2" borderId="2" xfId="3" applyFont="1" applyFill="1" applyBorder="1" applyAlignment="1" applyProtection="1">
      <alignment horizontal="center" vertical="top" wrapText="1"/>
      <protection locked="0"/>
    </xf>
    <xf numFmtId="43" fontId="13" fillId="11" borderId="2" xfId="5" applyFont="1" applyFill="1" applyBorder="1" applyAlignment="1">
      <alignment horizontal="center" vertical="center" wrapText="1"/>
    </xf>
    <xf numFmtId="14" fontId="15" fillId="2" borderId="2" xfId="3" applyNumberFormat="1" applyFont="1" applyFill="1" applyBorder="1" applyAlignment="1" applyProtection="1">
      <alignment horizontal="center" vertical="top" wrapText="1"/>
      <protection locked="0"/>
    </xf>
    <xf numFmtId="0" fontId="14" fillId="0" borderId="0" xfId="0" applyFont="1" applyAlignment="1">
      <alignment horizontal="left"/>
    </xf>
    <xf numFmtId="0" fontId="5" fillId="0" borderId="0" xfId="2"/>
    <xf numFmtId="0" fontId="19" fillId="12" borderId="0" xfId="10" applyFill="1"/>
    <xf numFmtId="0" fontId="20" fillId="12" borderId="0" xfId="10" applyFont="1" applyFill="1"/>
    <xf numFmtId="0" fontId="21" fillId="12" borderId="0" xfId="10" applyFont="1" applyFill="1" applyAlignment="1">
      <alignment horizontal="left"/>
    </xf>
    <xf numFmtId="0" fontId="21" fillId="12" borderId="0" xfId="10" applyFont="1" applyFill="1"/>
    <xf numFmtId="0" fontId="20" fillId="0" borderId="0" xfId="10" applyFont="1"/>
    <xf numFmtId="0" fontId="19" fillId="0" borderId="0" xfId="10"/>
    <xf numFmtId="0" fontId="22" fillId="12" borderId="0" xfId="10" applyFont="1" applyFill="1"/>
    <xf numFmtId="0" fontId="5" fillId="0" borderId="0" xfId="2" applyAlignment="1">
      <alignment vertical="center"/>
    </xf>
    <xf numFmtId="0" fontId="5" fillId="14" borderId="0" xfId="2" applyFill="1" applyAlignment="1">
      <alignment vertical="center"/>
    </xf>
    <xf numFmtId="0" fontId="5" fillId="14" borderId="0" xfId="2" applyFill="1"/>
    <xf numFmtId="0" fontId="23" fillId="14" borderId="0" xfId="2" applyFont="1" applyFill="1"/>
    <xf numFmtId="0" fontId="24" fillId="14" borderId="0" xfId="2" applyFont="1" applyFill="1"/>
    <xf numFmtId="0" fontId="5" fillId="12" borderId="0" xfId="2" applyFill="1" applyAlignment="1">
      <alignment vertical="center"/>
    </xf>
    <xf numFmtId="0" fontId="5" fillId="14" borderId="0" xfId="2" applyFill="1" applyAlignment="1">
      <alignment vertical="center" wrapText="1"/>
    </xf>
    <xf numFmtId="0" fontId="28" fillId="14" borderId="0" xfId="2" applyFont="1" applyFill="1" applyAlignment="1">
      <alignment horizontal="center" vertical="center" wrapText="1"/>
    </xf>
    <xf numFmtId="0" fontId="5" fillId="15" borderId="0" xfId="2" applyFill="1" applyAlignment="1">
      <alignment vertical="center"/>
    </xf>
    <xf numFmtId="0" fontId="30" fillId="15" borderId="0" xfId="2" applyFont="1" applyFill="1" applyAlignment="1">
      <alignment vertical="center"/>
    </xf>
    <xf numFmtId="0" fontId="31" fillId="14" borderId="0" xfId="2" applyFont="1" applyFill="1" applyAlignment="1">
      <alignment horizontal="left" vertical="center" wrapText="1"/>
    </xf>
    <xf numFmtId="0" fontId="32" fillId="14" borderId="0" xfId="2" applyFont="1" applyFill="1" applyAlignment="1">
      <alignment vertical="center" wrapText="1"/>
    </xf>
    <xf numFmtId="0" fontId="33" fillId="0" borderId="0" xfId="10" applyFont="1" applyAlignment="1">
      <alignment vertical="center" wrapText="1"/>
    </xf>
    <xf numFmtId="0" fontId="35" fillId="16" borderId="0" xfId="11" applyNumberFormat="1" applyFont="1" applyFill="1" applyBorder="1" applyAlignment="1" applyProtection="1">
      <alignment vertical="center"/>
    </xf>
    <xf numFmtId="0" fontId="5" fillId="2" borderId="0" xfId="2" applyFill="1" applyAlignment="1">
      <alignment vertical="center"/>
    </xf>
    <xf numFmtId="0" fontId="5" fillId="12" borderId="0" xfId="2" applyFill="1"/>
    <xf numFmtId="0" fontId="35" fillId="16" borderId="11" xfId="11" applyNumberFormat="1" applyFont="1" applyFill="1" applyBorder="1" applyAlignment="1" applyProtection="1">
      <alignment vertical="center"/>
    </xf>
    <xf numFmtId="0" fontId="5" fillId="0" borderId="0" xfId="12" applyAlignment="1">
      <alignment vertical="center"/>
    </xf>
    <xf numFmtId="0" fontId="29" fillId="17" borderId="10" xfId="10" applyFont="1" applyFill="1" applyBorder="1" applyAlignment="1">
      <alignment vertical="center"/>
    </xf>
    <xf numFmtId="0" fontId="29" fillId="17" borderId="12" xfId="10" applyFont="1" applyFill="1" applyBorder="1" applyAlignment="1">
      <alignment vertical="center"/>
    </xf>
    <xf numFmtId="0" fontId="31" fillId="18" borderId="15" xfId="10" applyFont="1" applyFill="1" applyBorder="1" applyAlignment="1">
      <alignment horizontal="left" vertical="center" wrapText="1"/>
    </xf>
    <xf numFmtId="0" fontId="31" fillId="18" borderId="15" xfId="10" applyFont="1" applyFill="1" applyBorder="1" applyAlignment="1">
      <alignment horizontal="center" vertical="center" wrapText="1"/>
    </xf>
    <xf numFmtId="0" fontId="31" fillId="18" borderId="19" xfId="10" applyFont="1" applyFill="1" applyBorder="1" applyAlignment="1">
      <alignment horizontal="center" vertical="center" wrapText="1"/>
    </xf>
    <xf numFmtId="0" fontId="31" fillId="18" borderId="14" xfId="10" applyFont="1" applyFill="1" applyBorder="1" applyAlignment="1">
      <alignment horizontal="left" vertical="center" wrapText="1"/>
    </xf>
    <xf numFmtId="0" fontId="5" fillId="14" borderId="2" xfId="10" applyFont="1" applyFill="1" applyBorder="1" applyAlignment="1">
      <alignment horizontal="center" vertical="center" wrapText="1"/>
    </xf>
    <xf numFmtId="168" fontId="5" fillId="14" borderId="17" xfId="10" applyNumberFormat="1" applyFont="1" applyFill="1" applyBorder="1" applyAlignment="1">
      <alignment horizontal="center" vertical="center" wrapText="1"/>
    </xf>
    <xf numFmtId="0" fontId="5" fillId="14" borderId="16" xfId="10" applyFont="1" applyFill="1" applyBorder="1" applyAlignment="1">
      <alignment horizontal="left" vertical="center" wrapText="1"/>
    </xf>
    <xf numFmtId="0" fontId="5" fillId="14" borderId="2" xfId="10" applyFont="1" applyFill="1" applyBorder="1" applyAlignment="1">
      <alignment horizontal="left" vertical="center" wrapText="1"/>
    </xf>
    <xf numFmtId="0" fontId="5" fillId="14" borderId="6" xfId="10" applyFont="1" applyFill="1" applyBorder="1" applyAlignment="1">
      <alignment horizontal="center" vertical="center" wrapText="1"/>
    </xf>
    <xf numFmtId="168" fontId="5" fillId="14" borderId="18" xfId="10" applyNumberFormat="1" applyFont="1" applyFill="1" applyBorder="1" applyAlignment="1">
      <alignment horizontal="center" vertical="center" wrapText="1"/>
    </xf>
    <xf numFmtId="0" fontId="5" fillId="14" borderId="23" xfId="10" applyFont="1" applyFill="1" applyBorder="1" applyAlignment="1">
      <alignment horizontal="left" vertical="center" wrapText="1"/>
    </xf>
    <xf numFmtId="0" fontId="5" fillId="14" borderId="6" xfId="10" applyFont="1" applyFill="1" applyBorder="1" applyAlignment="1">
      <alignment horizontal="left" vertical="center" wrapText="1"/>
    </xf>
    <xf numFmtId="0" fontId="37" fillId="19" borderId="15" xfId="10" applyFont="1" applyFill="1" applyBorder="1" applyAlignment="1">
      <alignment horizontal="center" vertical="center" wrapText="1"/>
    </xf>
    <xf numFmtId="0" fontId="29" fillId="17" borderId="24" xfId="10" applyFont="1" applyFill="1" applyBorder="1" applyAlignment="1">
      <alignment vertical="center"/>
    </xf>
    <xf numFmtId="0" fontId="29" fillId="17" borderId="25" xfId="10" applyFont="1" applyFill="1" applyBorder="1" applyAlignment="1">
      <alignment vertical="center"/>
    </xf>
    <xf numFmtId="168" fontId="5" fillId="14" borderId="2" xfId="10" applyNumberFormat="1" applyFont="1" applyFill="1" applyBorder="1" applyAlignment="1">
      <alignment horizontal="center" vertical="center" wrapText="1"/>
    </xf>
    <xf numFmtId="168" fontId="5" fillId="14" borderId="6" xfId="10" applyNumberFormat="1" applyFont="1" applyFill="1" applyBorder="1" applyAlignment="1">
      <alignment horizontal="center" vertical="center" wrapText="1"/>
    </xf>
    <xf numFmtId="0" fontId="5" fillId="14" borderId="2" xfId="10" applyFont="1" applyFill="1" applyBorder="1" applyAlignment="1">
      <alignment horizontal="center" vertical="center"/>
    </xf>
    <xf numFmtId="168" fontId="5" fillId="14" borderId="17" xfId="10" applyNumberFormat="1" applyFont="1" applyFill="1" applyBorder="1" applyAlignment="1">
      <alignment horizontal="center" vertical="center"/>
    </xf>
    <xf numFmtId="0" fontId="5" fillId="14" borderId="16" xfId="10" applyFont="1" applyFill="1" applyBorder="1" applyAlignment="1">
      <alignment horizontal="left" vertical="center"/>
    </xf>
    <xf numFmtId="0" fontId="5" fillId="14" borderId="2" xfId="10" applyFont="1" applyFill="1" applyBorder="1" applyAlignment="1">
      <alignment horizontal="left" vertical="center"/>
    </xf>
    <xf numFmtId="168" fontId="5" fillId="14" borderId="2" xfId="10" applyNumberFormat="1" applyFont="1" applyFill="1" applyBorder="1" applyAlignment="1">
      <alignment horizontal="center" vertical="center"/>
    </xf>
    <xf numFmtId="14" fontId="38" fillId="0" borderId="2" xfId="10" applyNumberFormat="1" applyFont="1" applyBorder="1" applyAlignment="1">
      <alignment horizontal="left" vertical="center" wrapText="1"/>
    </xf>
    <xf numFmtId="0" fontId="38" fillId="0" borderId="2" xfId="10" applyFont="1" applyBorder="1" applyAlignment="1">
      <alignment horizontal="left" vertical="top" wrapText="1"/>
    </xf>
    <xf numFmtId="0" fontId="38" fillId="0" borderId="2" xfId="10" applyFont="1" applyBorder="1" applyAlignment="1">
      <alignment horizontal="left" vertical="top"/>
    </xf>
    <xf numFmtId="22" fontId="17" fillId="6" borderId="2" xfId="4" applyNumberFormat="1" applyFont="1" applyFill="1" applyBorder="1" applyAlignment="1">
      <alignment horizontal="center" vertical="center" wrapText="1"/>
    </xf>
    <xf numFmtId="0" fontId="40" fillId="19" borderId="2" xfId="0" applyFont="1" applyFill="1" applyBorder="1" applyAlignment="1">
      <alignment horizontal="center" vertical="center" wrapText="1"/>
    </xf>
    <xf numFmtId="1" fontId="40" fillId="19" borderId="29" xfId="5" applyNumberFormat="1" applyFont="1" applyFill="1" applyBorder="1" applyAlignment="1">
      <alignment horizontal="center" vertical="center" wrapText="1"/>
    </xf>
    <xf numFmtId="43" fontId="40" fillId="19" borderId="29" xfId="5" applyFont="1" applyFill="1" applyBorder="1" applyAlignment="1">
      <alignment horizontal="center" vertical="center" wrapText="1"/>
    </xf>
    <xf numFmtId="0" fontId="40" fillId="19" borderId="29" xfId="5" applyNumberFormat="1" applyFont="1" applyFill="1" applyBorder="1" applyAlignment="1">
      <alignment horizontal="center" vertical="center" wrapText="1"/>
    </xf>
    <xf numFmtId="43" fontId="40" fillId="19" borderId="2" xfId="5" applyFont="1" applyFill="1" applyBorder="1" applyAlignment="1">
      <alignment horizontal="center" vertical="center" wrapText="1"/>
    </xf>
    <xf numFmtId="3" fontId="40" fillId="19" borderId="2" xfId="5" applyNumberFormat="1" applyFont="1" applyFill="1" applyBorder="1" applyAlignment="1">
      <alignment horizontal="center" vertical="center" wrapText="1"/>
    </xf>
    <xf numFmtId="166" fontId="40" fillId="19" borderId="2" xfId="5" applyNumberFormat="1" applyFont="1" applyFill="1" applyBorder="1" applyAlignment="1">
      <alignment horizontal="center" vertical="center" wrapText="1"/>
    </xf>
    <xf numFmtId="1" fontId="40" fillId="19" borderId="2" xfId="5" applyNumberFormat="1" applyFont="1" applyFill="1" applyBorder="1" applyAlignment="1">
      <alignment horizontal="center" vertical="center" wrapText="1"/>
    </xf>
    <xf numFmtId="0" fontId="40" fillId="19" borderId="2" xfId="5" applyNumberFormat="1" applyFont="1" applyFill="1" applyBorder="1" applyAlignment="1">
      <alignment horizontal="center" vertical="center" wrapText="1"/>
    </xf>
    <xf numFmtId="165" fontId="40" fillId="19" borderId="2" xfId="5" applyNumberFormat="1" applyFont="1" applyFill="1" applyBorder="1" applyAlignment="1">
      <alignment horizontal="center" vertical="center" wrapText="1"/>
    </xf>
    <xf numFmtId="43" fontId="40" fillId="19" borderId="3" xfId="5" applyFont="1" applyFill="1" applyBorder="1" applyAlignment="1">
      <alignment horizontal="center" vertical="center" wrapText="1"/>
    </xf>
    <xf numFmtId="167" fontId="13" fillId="11" borderId="2" xfId="5" applyNumberFormat="1" applyFont="1" applyFill="1" applyBorder="1" applyAlignment="1">
      <alignment horizontal="center" vertical="center"/>
    </xf>
    <xf numFmtId="0" fontId="42" fillId="16" borderId="13" xfId="11" applyNumberFormat="1" applyFont="1" applyFill="1" applyBorder="1" applyAlignment="1" applyProtection="1">
      <alignment vertical="center"/>
    </xf>
    <xf numFmtId="0" fontId="42" fillId="16" borderId="0" xfId="11" applyNumberFormat="1" applyFont="1" applyFill="1" applyBorder="1" applyAlignment="1" applyProtection="1">
      <alignment vertical="center"/>
    </xf>
    <xf numFmtId="0" fontId="43" fillId="19" borderId="2" xfId="0" applyFont="1" applyFill="1" applyBorder="1" applyAlignment="1">
      <alignment horizontal="center"/>
    </xf>
    <xf numFmtId="0" fontId="44" fillId="19" borderId="2" xfId="0" applyFont="1" applyFill="1" applyBorder="1" applyAlignment="1">
      <alignment horizontal="center" vertical="center" wrapText="1"/>
    </xf>
    <xf numFmtId="0" fontId="5" fillId="20" borderId="0" xfId="2" applyFill="1" applyAlignment="1">
      <alignment vertical="center"/>
    </xf>
    <xf numFmtId="0" fontId="14" fillId="12" borderId="2" xfId="6" applyFont="1" applyFill="1" applyBorder="1" applyAlignment="1">
      <alignment horizontal="center" vertical="center" wrapText="1"/>
    </xf>
    <xf numFmtId="49" fontId="14" fillId="0" borderId="2" xfId="5" applyNumberFormat="1" applyFont="1" applyFill="1" applyBorder="1" applyAlignment="1">
      <alignment horizontal="center" vertical="center" wrapText="1"/>
    </xf>
    <xf numFmtId="49" fontId="14" fillId="0" borderId="2" xfId="0" applyNumberFormat="1" applyFont="1" applyBorder="1" applyAlignment="1">
      <alignment horizontal="center" vertical="top" wrapText="1"/>
    </xf>
    <xf numFmtId="49" fontId="15" fillId="0" borderId="2" xfId="0" applyNumberFormat="1" applyFont="1" applyBorder="1" applyAlignment="1">
      <alignment horizontal="center" vertical="top" wrapText="1"/>
    </xf>
    <xf numFmtId="49" fontId="14" fillId="2" borderId="2" xfId="0" applyNumberFormat="1" applyFont="1" applyFill="1" applyBorder="1" applyAlignment="1">
      <alignment horizontal="center" vertical="top" wrapText="1"/>
    </xf>
    <xf numFmtId="49" fontId="14" fillId="2" borderId="2" xfId="5" applyNumberFormat="1" applyFont="1" applyFill="1" applyBorder="1" applyAlignment="1">
      <alignment horizontal="center" vertical="center" wrapText="1"/>
    </xf>
    <xf numFmtId="49" fontId="14" fillId="12" borderId="2" xfId="5" applyNumberFormat="1" applyFont="1" applyFill="1" applyBorder="1" applyAlignment="1">
      <alignment horizontal="center" vertical="center" wrapText="1"/>
    </xf>
    <xf numFmtId="49" fontId="15" fillId="2" borderId="2" xfId="5" applyNumberFormat="1" applyFont="1" applyFill="1" applyBorder="1" applyAlignment="1">
      <alignment horizontal="center" vertical="center" wrapText="1"/>
    </xf>
    <xf numFmtId="49" fontId="15" fillId="12" borderId="3" xfId="5" applyNumberFormat="1" applyFont="1" applyFill="1" applyBorder="1" applyAlignment="1">
      <alignment horizontal="center" vertical="center" wrapText="1"/>
    </xf>
    <xf numFmtId="0" fontId="14" fillId="0" borderId="0" xfId="0" applyFont="1" applyAlignment="1">
      <alignment vertical="center"/>
    </xf>
    <xf numFmtId="3" fontId="14" fillId="0" borderId="2" xfId="0" applyNumberFormat="1" applyFont="1" applyBorder="1" applyAlignment="1">
      <alignment horizontal="center" vertical="center" wrapText="1"/>
    </xf>
    <xf numFmtId="49" fontId="14" fillId="12" borderId="3" xfId="5" applyNumberFormat="1" applyFont="1" applyFill="1" applyBorder="1" applyAlignment="1">
      <alignment horizontal="center" vertical="center" wrapText="1"/>
    </xf>
    <xf numFmtId="0" fontId="14" fillId="0" borderId="2" xfId="0" applyFont="1" applyBorder="1" applyAlignment="1">
      <alignment horizontal="center" vertical="center" wrapText="1"/>
    </xf>
    <xf numFmtId="0" fontId="14" fillId="2" borderId="2" xfId="0" applyFont="1" applyFill="1" applyBorder="1" applyAlignment="1">
      <alignment horizontal="center" vertical="center" wrapText="1"/>
    </xf>
    <xf numFmtId="3" fontId="14" fillId="0" borderId="0" xfId="0" applyNumberFormat="1" applyFont="1" applyAlignment="1">
      <alignment horizontal="center" vertical="center" wrapText="1"/>
    </xf>
    <xf numFmtId="49" fontId="13" fillId="3" borderId="3" xfId="5" applyNumberFormat="1" applyFont="1" applyFill="1" applyBorder="1" applyAlignment="1">
      <alignment horizontal="center" vertical="center" wrapText="1"/>
    </xf>
    <xf numFmtId="0" fontId="14" fillId="2" borderId="6" xfId="5" applyNumberFormat="1" applyFont="1" applyFill="1" applyBorder="1" applyAlignment="1">
      <alignment horizontal="center" vertical="center" wrapText="1"/>
    </xf>
    <xf numFmtId="0" fontId="14" fillId="0" borderId="6" xfId="0" applyFont="1" applyBorder="1" applyAlignment="1">
      <alignment horizontal="center" vertical="center" wrapText="1"/>
    </xf>
    <xf numFmtId="0" fontId="0" fillId="0" borderId="0" xfId="0" applyAlignment="1">
      <alignment wrapText="1"/>
    </xf>
    <xf numFmtId="0" fontId="17" fillId="0" borderId="2" xfId="0" applyFont="1" applyBorder="1" applyAlignment="1">
      <alignment horizontal="left" vertical="center" wrapText="1"/>
    </xf>
    <xf numFmtId="0" fontId="40" fillId="19" borderId="2" xfId="0" applyFont="1" applyFill="1" applyBorder="1" applyAlignment="1">
      <alignment horizontal="left" vertical="center" wrapText="1"/>
    </xf>
    <xf numFmtId="0" fontId="25" fillId="0" borderId="2" xfId="11" applyBorder="1" applyAlignment="1" applyProtection="1">
      <alignment horizontal="left" vertical="center" wrapText="1"/>
    </xf>
    <xf numFmtId="14" fontId="5" fillId="0" borderId="0" xfId="2" applyNumberFormat="1" applyAlignment="1">
      <alignment vertical="center"/>
    </xf>
    <xf numFmtId="22" fontId="17" fillId="0" borderId="2" xfId="0" applyNumberFormat="1" applyFont="1" applyBorder="1" applyAlignment="1">
      <alignment horizontal="left" vertical="center" wrapText="1"/>
    </xf>
    <xf numFmtId="0" fontId="35" fillId="16" borderId="11" xfId="11" applyNumberFormat="1" applyFont="1" applyFill="1" applyBorder="1" applyAlignment="1" applyProtection="1">
      <alignment horizontal="center" vertical="center"/>
    </xf>
    <xf numFmtId="0" fontId="5" fillId="2" borderId="0" xfId="2" applyFill="1" applyAlignment="1">
      <alignment horizontal="center" vertical="center"/>
    </xf>
    <xf numFmtId="0" fontId="5" fillId="0" borderId="0" xfId="2" applyAlignment="1">
      <alignment horizontal="center" vertical="center"/>
    </xf>
    <xf numFmtId="0" fontId="41" fillId="19" borderId="21" xfId="2" applyFont="1" applyFill="1" applyBorder="1" applyAlignment="1">
      <alignment vertical="center"/>
    </xf>
    <xf numFmtId="0" fontId="41" fillId="19" borderId="11" xfId="2" applyFont="1" applyFill="1" applyBorder="1" applyAlignment="1">
      <alignment vertical="center"/>
    </xf>
    <xf numFmtId="49" fontId="0" fillId="0" borderId="2" xfId="0" applyNumberFormat="1" applyBorder="1"/>
    <xf numFmtId="0" fontId="0" fillId="0" borderId="9" xfId="0" applyBorder="1"/>
    <xf numFmtId="0" fontId="0" fillId="0" borderId="30" xfId="0" applyBorder="1"/>
    <xf numFmtId="0" fontId="0" fillId="0" borderId="29" xfId="0" applyBorder="1"/>
    <xf numFmtId="0" fontId="46" fillId="0" borderId="41" xfId="0" applyFont="1" applyBorder="1" applyAlignment="1">
      <alignment horizontal="left" vertical="center" indent="1"/>
    </xf>
    <xf numFmtId="0" fontId="46" fillId="0" borderId="16" xfId="0" applyFont="1" applyBorder="1" applyAlignment="1">
      <alignment horizontal="left" vertical="center" indent="1"/>
    </xf>
    <xf numFmtId="0" fontId="46" fillId="0" borderId="42" xfId="0" applyFont="1" applyBorder="1" applyAlignment="1">
      <alignment horizontal="left" vertical="center" indent="1"/>
    </xf>
    <xf numFmtId="49" fontId="0" fillId="0" borderId="43" xfId="0" applyNumberFormat="1" applyBorder="1"/>
    <xf numFmtId="0" fontId="2" fillId="0" borderId="39" xfId="0" applyFont="1" applyBorder="1" applyAlignment="1">
      <alignment horizontal="center"/>
    </xf>
    <xf numFmtId="0" fontId="2" fillId="0" borderId="38" xfId="0" applyFont="1" applyBorder="1"/>
    <xf numFmtId="0" fontId="2" fillId="0" borderId="44" xfId="0" applyFont="1" applyBorder="1"/>
    <xf numFmtId="0" fontId="2" fillId="0" borderId="45" xfId="0" applyFont="1" applyBorder="1"/>
    <xf numFmtId="49" fontId="2" fillId="0" borderId="46" xfId="0" applyNumberFormat="1" applyFont="1" applyBorder="1"/>
    <xf numFmtId="0" fontId="2" fillId="0" borderId="47" xfId="0" applyFont="1" applyBorder="1"/>
    <xf numFmtId="49" fontId="2" fillId="0" borderId="48" xfId="0" applyNumberFormat="1" applyFont="1" applyBorder="1"/>
    <xf numFmtId="49" fontId="0" fillId="0" borderId="29" xfId="0" applyNumberFormat="1" applyBorder="1"/>
    <xf numFmtId="0" fontId="0" fillId="0" borderId="20" xfId="0" applyBorder="1" applyAlignment="1">
      <alignment horizontal="center"/>
    </xf>
    <xf numFmtId="0" fontId="0" fillId="0" borderId="31" xfId="0" applyBorder="1" applyAlignment="1">
      <alignment horizontal="center"/>
    </xf>
    <xf numFmtId="0" fontId="0" fillId="0" borderId="33" xfId="0" applyBorder="1" applyAlignment="1">
      <alignment horizontal="center"/>
    </xf>
    <xf numFmtId="0" fontId="47" fillId="0" borderId="35" xfId="0" applyFont="1" applyBorder="1" applyAlignment="1">
      <alignment horizontal="left" vertical="center"/>
    </xf>
    <xf numFmtId="0" fontId="47" fillId="0" borderId="36" xfId="0" applyFont="1" applyBorder="1" applyAlignment="1">
      <alignment horizontal="left" vertical="center"/>
    </xf>
    <xf numFmtId="0" fontId="47" fillId="0" borderId="37" xfId="0" applyFont="1" applyBorder="1" applyAlignment="1">
      <alignment horizontal="left" vertical="center"/>
    </xf>
    <xf numFmtId="0" fontId="48" fillId="0" borderId="30" xfId="0" applyFont="1" applyBorder="1" applyAlignment="1">
      <alignment horizontal="left"/>
    </xf>
    <xf numFmtId="0" fontId="2" fillId="0" borderId="9" xfId="0" applyFont="1" applyBorder="1" applyAlignment="1">
      <alignment horizontal="center"/>
    </xf>
    <xf numFmtId="0" fontId="14" fillId="0" borderId="0" xfId="0" applyFont="1" applyAlignment="1">
      <alignment wrapText="1"/>
    </xf>
    <xf numFmtId="14" fontId="50" fillId="0" borderId="2" xfId="2" applyNumberFormat="1" applyFont="1" applyBorder="1" applyAlignment="1">
      <alignment vertical="center" wrapText="1"/>
    </xf>
    <xf numFmtId="0" fontId="50" fillId="0" borderId="2" xfId="2" applyFont="1" applyBorder="1" applyAlignment="1">
      <alignment horizontal="center" vertical="center" wrapText="1"/>
    </xf>
    <xf numFmtId="49" fontId="50" fillId="0" borderId="2" xfId="2" applyNumberFormat="1" applyFont="1" applyBorder="1" applyAlignment="1">
      <alignment horizontal="center" vertical="center" wrapText="1"/>
    </xf>
    <xf numFmtId="0" fontId="49" fillId="19" borderId="15" xfId="2" applyFont="1" applyFill="1" applyBorder="1" applyAlignment="1">
      <alignment horizontal="center" vertical="center" wrapText="1"/>
    </xf>
    <xf numFmtId="0" fontId="0" fillId="0" borderId="2" xfId="0" applyBorder="1" applyAlignment="1">
      <alignment wrapText="1"/>
    </xf>
    <xf numFmtId="15" fontId="0" fillId="0" borderId="2" xfId="0" applyNumberFormat="1" applyBorder="1" applyAlignment="1">
      <alignment wrapText="1"/>
    </xf>
    <xf numFmtId="0" fontId="14" fillId="2" borderId="0" xfId="0" applyFont="1" applyFill="1"/>
    <xf numFmtId="0" fontId="2" fillId="0" borderId="40" xfId="0" applyFont="1" applyBorder="1" applyAlignment="1">
      <alignment horizontal="center"/>
    </xf>
    <xf numFmtId="14" fontId="50" fillId="0" borderId="6" xfId="2" applyNumberFormat="1" applyFont="1" applyBorder="1" applyAlignment="1">
      <alignment horizontal="left" vertical="center" wrapText="1"/>
    </xf>
    <xf numFmtId="0" fontId="26" fillId="14" borderId="0" xfId="13" applyFont="1" applyFill="1" applyBorder="1" applyAlignment="1" applyProtection="1"/>
    <xf numFmtId="0" fontId="26" fillId="14" borderId="0" xfId="13" applyFont="1" applyFill="1" applyAlignment="1" applyProtection="1"/>
    <xf numFmtId="0" fontId="40" fillId="19" borderId="2" xfId="5" applyNumberFormat="1" applyFont="1" applyFill="1" applyBorder="1" applyAlignment="1">
      <alignment vertical="center" wrapText="1"/>
    </xf>
    <xf numFmtId="0" fontId="14" fillId="2" borderId="3" xfId="0" applyFont="1" applyFill="1" applyBorder="1" applyAlignment="1">
      <alignment horizontal="center"/>
    </xf>
    <xf numFmtId="14" fontId="0" fillId="0" borderId="0" xfId="0" applyNumberFormat="1" applyAlignment="1">
      <alignment wrapText="1"/>
    </xf>
    <xf numFmtId="43" fontId="40" fillId="19" borderId="51" xfId="5" applyFont="1" applyFill="1" applyBorder="1" applyAlignment="1">
      <alignment horizontal="center" vertical="center" wrapText="1"/>
    </xf>
    <xf numFmtId="0" fontId="17" fillId="2" borderId="2" xfId="0" applyFont="1" applyFill="1" applyBorder="1" applyAlignment="1">
      <alignment horizontal="center" vertical="center" wrapText="1"/>
    </xf>
    <xf numFmtId="0" fontId="17" fillId="2" borderId="2" xfId="0" applyFont="1" applyFill="1" applyBorder="1" applyAlignment="1">
      <alignment horizontal="left" vertical="center" wrapText="1"/>
    </xf>
    <xf numFmtId="22" fontId="17" fillId="2" borderId="2" xfId="4" applyNumberFormat="1" applyFont="1" applyFill="1" applyBorder="1" applyAlignment="1">
      <alignment horizontal="center" vertical="center" wrapText="1"/>
    </xf>
    <xf numFmtId="1" fontId="17" fillId="2" borderId="2" xfId="8" applyNumberFormat="1" applyFont="1" applyFill="1" applyBorder="1" applyAlignment="1">
      <alignment horizontal="center" vertical="center" wrapText="1"/>
    </xf>
    <xf numFmtId="0" fontId="15" fillId="2" borderId="0" xfId="3" applyFont="1" applyFill="1" applyAlignment="1" applyProtection="1">
      <alignment horizontal="center" vertical="top" wrapText="1"/>
      <protection locked="0"/>
    </xf>
    <xf numFmtId="0" fontId="14" fillId="0" borderId="3" xfId="0" applyFont="1" applyBorder="1" applyAlignment="1">
      <alignment horizontal="left"/>
    </xf>
    <xf numFmtId="0" fontId="14" fillId="2" borderId="3" xfId="0" applyFont="1" applyFill="1" applyBorder="1" applyAlignment="1">
      <alignment horizontal="left"/>
    </xf>
    <xf numFmtId="0" fontId="14" fillId="2" borderId="3" xfId="0" applyFont="1" applyFill="1" applyBorder="1"/>
    <xf numFmtId="0" fontId="14" fillId="0" borderId="51" xfId="0" applyFont="1" applyBorder="1" applyAlignment="1">
      <alignment horizontal="left"/>
    </xf>
    <xf numFmtId="0" fontId="14" fillId="2" borderId="51" xfId="0" applyFont="1" applyFill="1" applyBorder="1" applyAlignment="1">
      <alignment horizontal="left"/>
    </xf>
    <xf numFmtId="0" fontId="14" fillId="2" borderId="51" xfId="0" applyFont="1" applyFill="1" applyBorder="1"/>
    <xf numFmtId="0" fontId="14" fillId="2" borderId="51" xfId="0" applyFont="1" applyFill="1" applyBorder="1" applyAlignment="1">
      <alignment horizontal="center"/>
    </xf>
    <xf numFmtId="0" fontId="0" fillId="0" borderId="51" xfId="0" applyBorder="1" applyAlignment="1">
      <alignment horizontal="center" vertical="center"/>
    </xf>
    <xf numFmtId="0" fontId="55" fillId="0" borderId="2" xfId="16" applyFont="1" applyBorder="1" applyAlignment="1">
      <alignment horizontal="center" vertical="center"/>
    </xf>
    <xf numFmtId="0" fontId="55" fillId="0" borderId="2" xfId="16" applyFont="1" applyBorder="1" applyAlignment="1">
      <alignment horizontal="center"/>
    </xf>
    <xf numFmtId="0" fontId="56" fillId="7" borderId="2" xfId="16" applyFont="1" applyFill="1" applyBorder="1" applyAlignment="1">
      <alignment horizontal="center" vertical="center"/>
    </xf>
    <xf numFmtId="0" fontId="56" fillId="21" borderId="2" xfId="16" applyFont="1" applyFill="1" applyBorder="1" applyAlignment="1">
      <alignment horizontal="center" vertical="center"/>
    </xf>
    <xf numFmtId="0" fontId="57" fillId="22" borderId="2" xfId="0" applyFont="1" applyFill="1" applyBorder="1" applyAlignment="1">
      <alignment horizontal="center"/>
    </xf>
    <xf numFmtId="0" fontId="57" fillId="0" borderId="2" xfId="16" applyFont="1" applyBorder="1" applyAlignment="1">
      <alignment horizontal="center" vertical="center"/>
    </xf>
    <xf numFmtId="0" fontId="22" fillId="12" borderId="21" xfId="10" applyFont="1" applyFill="1" applyBorder="1"/>
    <xf numFmtId="0" fontId="22" fillId="12" borderId="11" xfId="10" applyFont="1" applyFill="1" applyBorder="1"/>
    <xf numFmtId="22" fontId="22" fillId="12" borderId="11" xfId="10" applyNumberFormat="1" applyFont="1" applyFill="1" applyBorder="1"/>
    <xf numFmtId="0" fontId="19" fillId="12" borderId="11" xfId="10" applyFill="1" applyBorder="1"/>
    <xf numFmtId="0" fontId="19" fillId="12" borderId="20" xfId="10" applyFill="1" applyBorder="1"/>
    <xf numFmtId="0" fontId="19" fillId="12" borderId="13" xfId="10" applyFill="1" applyBorder="1"/>
    <xf numFmtId="0" fontId="19" fillId="12" borderId="31" xfId="10" applyFill="1" applyBorder="1"/>
    <xf numFmtId="0" fontId="19" fillId="12" borderId="32" xfId="10" applyFill="1" applyBorder="1"/>
    <xf numFmtId="0" fontId="19" fillId="12" borderId="34" xfId="10" applyFill="1" applyBorder="1"/>
    <xf numFmtId="0" fontId="20" fillId="12" borderId="34" xfId="10" applyFont="1" applyFill="1" applyBorder="1"/>
    <xf numFmtId="0" fontId="19" fillId="12" borderId="33" xfId="10" applyFill="1" applyBorder="1"/>
    <xf numFmtId="0" fontId="46" fillId="0" borderId="2" xfId="10" applyFont="1" applyBorder="1" applyAlignment="1">
      <alignment horizontal="left" vertical="top" wrapText="1"/>
    </xf>
    <xf numFmtId="0" fontId="0" fillId="0" borderId="2" xfId="0" applyBorder="1" applyAlignment="1">
      <alignment horizontal="center" vertical="center"/>
    </xf>
    <xf numFmtId="0" fontId="59" fillId="0" borderId="53" xfId="0" applyFont="1" applyBorder="1" applyAlignment="1">
      <alignment horizontal="left"/>
    </xf>
    <xf numFmtId="0" fontId="59" fillId="0" borderId="53" xfId="0" applyFont="1" applyBorder="1" applyAlignment="1">
      <alignment horizontal="center"/>
    </xf>
    <xf numFmtId="0" fontId="0" fillId="0" borderId="2" xfId="0" applyBorder="1" applyAlignment="1">
      <alignment horizontal="center"/>
    </xf>
    <xf numFmtId="0" fontId="58" fillId="0" borderId="2" xfId="0" applyFont="1" applyBorder="1" applyAlignment="1">
      <alignment horizontal="left" vertical="center" wrapText="1"/>
    </xf>
    <xf numFmtId="0" fontId="16" fillId="0" borderId="2" xfId="0" applyFont="1" applyBorder="1"/>
    <xf numFmtId="0" fontId="25" fillId="0" borderId="2" xfId="11" applyBorder="1" applyAlignment="1" applyProtection="1">
      <alignment horizontal="left"/>
    </xf>
    <xf numFmtId="0" fontId="16" fillId="23" borderId="2" xfId="0" applyFont="1" applyFill="1" applyBorder="1"/>
    <xf numFmtId="0" fontId="17" fillId="23" borderId="2" xfId="0" applyFont="1" applyFill="1" applyBorder="1" applyAlignment="1">
      <alignment horizontal="left" vertical="center" wrapText="1"/>
    </xf>
    <xf numFmtId="0" fontId="45" fillId="23" borderId="2" xfId="11" applyFont="1" applyFill="1" applyBorder="1" applyAlignment="1" applyProtection="1">
      <alignment horizontal="left" vertical="center" wrapText="1"/>
    </xf>
    <xf numFmtId="0" fontId="25" fillId="0" borderId="2" xfId="11" applyBorder="1" applyAlignment="1" applyProtection="1"/>
    <xf numFmtId="0" fontId="17" fillId="0" borderId="2" xfId="0" applyFont="1" applyBorder="1" applyAlignment="1">
      <alignment wrapText="1"/>
    </xf>
    <xf numFmtId="43" fontId="15" fillId="0" borderId="2" xfId="5" applyFont="1" applyBorder="1" applyAlignment="1">
      <alignment horizontal="center" vertical="center"/>
    </xf>
    <xf numFmtId="0" fontId="59" fillId="0" borderId="2" xfId="0" applyFont="1" applyBorder="1"/>
    <xf numFmtId="0" fontId="60" fillId="0" borderId="2" xfId="0" applyFont="1" applyBorder="1" applyAlignment="1">
      <alignment vertical="center"/>
    </xf>
    <xf numFmtId="14" fontId="0" fillId="0" borderId="2" xfId="0" applyNumberFormat="1" applyBorder="1" applyAlignment="1">
      <alignment horizontal="left"/>
    </xf>
    <xf numFmtId="0" fontId="61" fillId="0" borderId="2" xfId="0" applyFont="1" applyBorder="1"/>
    <xf numFmtId="0" fontId="62" fillId="0" borderId="2" xfId="0" applyFont="1" applyBorder="1"/>
    <xf numFmtId="15" fontId="15" fillId="24" borderId="51" xfId="0" applyNumberFormat="1" applyFont="1" applyFill="1" applyBorder="1" applyAlignment="1">
      <alignment horizontal="center" vertical="center" wrapText="1"/>
    </xf>
    <xf numFmtId="0" fontId="63" fillId="0" borderId="2" xfId="0" applyFont="1" applyBorder="1"/>
    <xf numFmtId="0" fontId="0" fillId="0" borderId="3" xfId="0" applyBorder="1"/>
    <xf numFmtId="0" fontId="64" fillId="0" borderId="2" xfId="0" applyFont="1" applyBorder="1"/>
    <xf numFmtId="0" fontId="67" fillId="25" borderId="2" xfId="0" applyFont="1" applyFill="1" applyBorder="1"/>
    <xf numFmtId="0" fontId="67" fillId="26" borderId="2" xfId="0" applyFont="1" applyFill="1" applyBorder="1"/>
    <xf numFmtId="0" fontId="67" fillId="26" borderId="3" xfId="0" applyFont="1" applyFill="1" applyBorder="1"/>
    <xf numFmtId="0" fontId="67" fillId="25" borderId="55" xfId="0" applyFont="1" applyFill="1" applyBorder="1"/>
    <xf numFmtId="0" fontId="67" fillId="25" borderId="50" xfId="0" applyFont="1" applyFill="1" applyBorder="1"/>
    <xf numFmtId="0" fontId="67" fillId="27" borderId="0" xfId="0" applyFont="1" applyFill="1"/>
    <xf numFmtId="0" fontId="67" fillId="27" borderId="50" xfId="0" applyFont="1" applyFill="1" applyBorder="1"/>
    <xf numFmtId="0" fontId="67" fillId="28" borderId="50" xfId="0" applyFont="1" applyFill="1" applyBorder="1"/>
    <xf numFmtId="0" fontId="23" fillId="0" borderId="2" xfId="0" applyFont="1" applyBorder="1"/>
    <xf numFmtId="0" fontId="55" fillId="0" borderId="2" xfId="0" applyFont="1" applyBorder="1" applyAlignment="1">
      <alignment horizontal="left"/>
    </xf>
    <xf numFmtId="0" fontId="55" fillId="0" borderId="2" xfId="0" applyFont="1" applyBorder="1"/>
    <xf numFmtId="0" fontId="64" fillId="0" borderId="2" xfId="0" applyFont="1" applyBorder="1" applyAlignment="1">
      <alignment horizontal="left"/>
    </xf>
    <xf numFmtId="43" fontId="40" fillId="19" borderId="49" xfId="5" applyFont="1" applyFill="1" applyBorder="1" applyAlignment="1">
      <alignment horizontal="center" vertical="center" wrapText="1"/>
    </xf>
    <xf numFmtId="22" fontId="65" fillId="2" borderId="2" xfId="5" applyNumberFormat="1" applyFont="1" applyFill="1" applyBorder="1" applyAlignment="1">
      <alignment horizontal="center" vertical="center" wrapText="1"/>
    </xf>
    <xf numFmtId="167" fontId="66" fillId="0" borderId="2" xfId="5" applyNumberFormat="1" applyFont="1" applyFill="1" applyBorder="1" applyAlignment="1">
      <alignment horizontal="center" vertical="center"/>
    </xf>
    <xf numFmtId="43" fontId="68" fillId="0" borderId="2" xfId="5" applyFont="1" applyFill="1" applyBorder="1" applyAlignment="1">
      <alignment horizontal="left" vertical="center"/>
    </xf>
    <xf numFmtId="0" fontId="0" fillId="19" borderId="51" xfId="0" applyFill="1" applyBorder="1" applyAlignment="1">
      <alignment horizontal="center" vertical="center"/>
    </xf>
    <xf numFmtId="43" fontId="40" fillId="19" borderId="56" xfId="5" applyFont="1" applyFill="1" applyBorder="1" applyAlignment="1">
      <alignment horizontal="center" vertical="center" wrapText="1"/>
    </xf>
    <xf numFmtId="43" fontId="40" fillId="19" borderId="57" xfId="5" applyFont="1" applyFill="1" applyBorder="1" applyAlignment="1">
      <alignment horizontal="center" vertical="center" wrapText="1"/>
    </xf>
    <xf numFmtId="0" fontId="17" fillId="0" borderId="3" xfId="0" applyFont="1" applyBorder="1" applyAlignment="1">
      <alignment wrapText="1"/>
    </xf>
    <xf numFmtId="0" fontId="17" fillId="0" borderId="4" xfId="0" applyFont="1" applyBorder="1" applyAlignment="1">
      <alignment wrapText="1"/>
    </xf>
    <xf numFmtId="22" fontId="65" fillId="0" borderId="2" xfId="5" applyNumberFormat="1" applyFont="1" applyFill="1" applyBorder="1" applyAlignment="1">
      <alignment horizontal="center" vertical="center" wrapText="1"/>
    </xf>
    <xf numFmtId="22" fontId="65" fillId="0" borderId="4" xfId="5" applyNumberFormat="1" applyFont="1" applyFill="1" applyBorder="1" applyAlignment="1">
      <alignment horizontal="center" vertical="center" wrapText="1"/>
    </xf>
    <xf numFmtId="22" fontId="65" fillId="2" borderId="4" xfId="5" applyNumberFormat="1" applyFont="1" applyFill="1" applyBorder="1" applyAlignment="1">
      <alignment horizontal="center" vertical="center" wrapText="1"/>
    </xf>
    <xf numFmtId="0" fontId="69" fillId="0" borderId="2" xfId="0" applyFont="1" applyBorder="1"/>
    <xf numFmtId="0" fontId="17" fillId="0" borderId="2" xfId="0" applyFont="1" applyBorder="1" applyAlignment="1">
      <alignment horizontal="center" wrapText="1"/>
    </xf>
    <xf numFmtId="43" fontId="70" fillId="19" borderId="51" xfId="5" applyFont="1" applyFill="1" applyBorder="1" applyAlignment="1">
      <alignment horizontal="center" vertical="center" wrapText="1"/>
    </xf>
    <xf numFmtId="43" fontId="70" fillId="19" borderId="54" xfId="5" applyFont="1" applyFill="1" applyBorder="1" applyAlignment="1">
      <alignment horizontal="center" vertical="center" wrapText="1"/>
    </xf>
    <xf numFmtId="43" fontId="70" fillId="19" borderId="2" xfId="5" applyFont="1" applyFill="1" applyBorder="1" applyAlignment="1">
      <alignment horizontal="center" vertical="center" wrapText="1"/>
    </xf>
    <xf numFmtId="0" fontId="54" fillId="0" borderId="0" xfId="0" applyFont="1"/>
    <xf numFmtId="0" fontId="54" fillId="0" borderId="51" xfId="0" applyFont="1" applyBorder="1" applyAlignment="1">
      <alignment horizontal="center" vertical="center"/>
    </xf>
    <xf numFmtId="0" fontId="54" fillId="0" borderId="51" xfId="0" applyFont="1" applyBorder="1" applyAlignment="1">
      <alignment wrapText="1"/>
    </xf>
    <xf numFmtId="0" fontId="54" fillId="0" borderId="51" xfId="0" applyFont="1" applyBorder="1"/>
    <xf numFmtId="0" fontId="54" fillId="0" borderId="54" xfId="0" applyFont="1" applyBorder="1"/>
    <xf numFmtId="0" fontId="54" fillId="0" borderId="2" xfId="0" applyFont="1" applyBorder="1"/>
    <xf numFmtId="1" fontId="72" fillId="19" borderId="51" xfId="5" applyNumberFormat="1" applyFont="1" applyFill="1" applyBorder="1" applyAlignment="1">
      <alignment horizontal="center" vertical="center" wrapText="1"/>
    </xf>
    <xf numFmtId="0" fontId="70" fillId="19" borderId="51" xfId="5" applyNumberFormat="1" applyFont="1" applyFill="1" applyBorder="1" applyAlignment="1">
      <alignment horizontal="center" vertical="center" wrapText="1"/>
    </xf>
    <xf numFmtId="165" fontId="70" fillId="19" borderId="51" xfId="5" applyNumberFormat="1" applyFont="1" applyFill="1" applyBorder="1" applyAlignment="1">
      <alignment horizontal="center" vertical="center" wrapText="1"/>
    </xf>
    <xf numFmtId="0" fontId="70" fillId="19" borderId="51" xfId="5" applyNumberFormat="1" applyFont="1" applyFill="1" applyBorder="1" applyAlignment="1">
      <alignment horizontal="left" vertical="center" wrapText="1"/>
    </xf>
    <xf numFmtId="0" fontId="73" fillId="0" borderId="0" xfId="0" applyFont="1"/>
    <xf numFmtId="1" fontId="74" fillId="2" borderId="51" xfId="5" applyNumberFormat="1" applyFont="1" applyFill="1" applyBorder="1" applyAlignment="1">
      <alignment horizontal="center" vertical="center"/>
    </xf>
    <xf numFmtId="0" fontId="73" fillId="22" borderId="51" xfId="5" applyNumberFormat="1" applyFont="1" applyFill="1" applyBorder="1" applyAlignment="1">
      <alignment horizontal="center" vertical="center"/>
    </xf>
    <xf numFmtId="43" fontId="74" fillId="2" borderId="51" xfId="5" applyFont="1" applyFill="1" applyBorder="1" applyAlignment="1">
      <alignment horizontal="center" vertical="center" wrapText="1"/>
    </xf>
    <xf numFmtId="0" fontId="73" fillId="0" borderId="51" xfId="5" applyNumberFormat="1" applyFont="1" applyFill="1" applyBorder="1" applyAlignment="1">
      <alignment horizontal="center" vertical="center"/>
    </xf>
    <xf numFmtId="0" fontId="73" fillId="12" borderId="51" xfId="6" applyFont="1" applyFill="1" applyBorder="1" applyAlignment="1">
      <alignment horizontal="left" vertical="center" wrapText="1"/>
    </xf>
    <xf numFmtId="0" fontId="74" fillId="2" borderId="51" xfId="3" applyFont="1" applyFill="1" applyBorder="1" applyAlignment="1" applyProtection="1">
      <alignment horizontal="center" vertical="center" wrapText="1"/>
      <protection locked="0"/>
    </xf>
    <xf numFmtId="15" fontId="74" fillId="24" borderId="51" xfId="0" applyNumberFormat="1" applyFont="1" applyFill="1" applyBorder="1" applyAlignment="1">
      <alignment horizontal="center" vertical="center" wrapText="1"/>
    </xf>
    <xf numFmtId="15" fontId="74" fillId="24" borderId="52" xfId="0" applyNumberFormat="1" applyFont="1" applyFill="1" applyBorder="1" applyAlignment="1">
      <alignment horizontal="center" vertical="center" wrapText="1"/>
    </xf>
    <xf numFmtId="0" fontId="74" fillId="2" borderId="51" xfId="3" applyFont="1" applyFill="1" applyBorder="1" applyAlignment="1" applyProtection="1">
      <alignment horizontal="left" vertical="top" wrapText="1"/>
      <protection locked="0"/>
    </xf>
    <xf numFmtId="0" fontId="74" fillId="2" borderId="51" xfId="3" applyFont="1" applyFill="1" applyBorder="1" applyAlignment="1" applyProtection="1">
      <alignment horizontal="center" vertical="top" wrapText="1"/>
      <protection locked="0"/>
    </xf>
    <xf numFmtId="0" fontId="74" fillId="12" borderId="51" xfId="6" applyFont="1" applyFill="1" applyBorder="1" applyAlignment="1">
      <alignment horizontal="left" vertical="center" wrapText="1"/>
    </xf>
    <xf numFmtId="1" fontId="75" fillId="2" borderId="51" xfId="5" applyNumberFormat="1" applyFont="1" applyFill="1" applyBorder="1" applyAlignment="1">
      <alignment horizontal="center" vertical="center"/>
    </xf>
    <xf numFmtId="0" fontId="75" fillId="2" borderId="51" xfId="3" applyFont="1" applyFill="1" applyBorder="1" applyAlignment="1" applyProtection="1">
      <alignment horizontal="center" vertical="top" wrapText="1"/>
      <protection locked="0"/>
    </xf>
    <xf numFmtId="0" fontId="76" fillId="12" borderId="51" xfId="6" applyFont="1" applyFill="1" applyBorder="1" applyAlignment="1">
      <alignment horizontal="left" vertical="center" wrapText="1"/>
    </xf>
    <xf numFmtId="0" fontId="76" fillId="0" borderId="51" xfId="6" applyFont="1" applyBorder="1" applyAlignment="1">
      <alignment horizontal="left" vertical="center" wrapText="1"/>
    </xf>
    <xf numFmtId="0" fontId="74" fillId="0" borderId="51" xfId="6" applyFont="1" applyBorder="1" applyAlignment="1">
      <alignment horizontal="left" vertical="center" wrapText="1"/>
    </xf>
    <xf numFmtId="0" fontId="74" fillId="0" borderId="51" xfId="3" applyFont="1" applyBorder="1" applyAlignment="1" applyProtection="1">
      <alignment horizontal="left" vertical="top" wrapText="1"/>
      <protection locked="0"/>
    </xf>
    <xf numFmtId="0" fontId="74" fillId="0" borderId="51" xfId="3" applyFont="1" applyBorder="1" applyAlignment="1" applyProtection="1">
      <alignment horizontal="center" vertical="top" wrapText="1"/>
      <protection locked="0"/>
    </xf>
    <xf numFmtId="0" fontId="74" fillId="12" borderId="51" xfId="6" applyFont="1" applyFill="1" applyBorder="1" applyAlignment="1">
      <alignment vertical="center" wrapText="1"/>
    </xf>
    <xf numFmtId="0" fontId="76" fillId="12" borderId="51" xfId="6" applyFont="1" applyFill="1" applyBorder="1" applyAlignment="1">
      <alignment vertical="center" wrapText="1"/>
    </xf>
    <xf numFmtId="0" fontId="74" fillId="2" borderId="51" xfId="3" applyFont="1" applyFill="1" applyBorder="1" applyAlignment="1" applyProtection="1">
      <alignment horizontal="left" vertical="center" wrapText="1"/>
      <protection locked="0"/>
    </xf>
    <xf numFmtId="0" fontId="73" fillId="0" borderId="0" xfId="0" applyFont="1" applyAlignment="1">
      <alignment horizontal="center"/>
    </xf>
    <xf numFmtId="0" fontId="73" fillId="0" borderId="0" xfId="0" applyFont="1" applyAlignment="1">
      <alignment horizontal="left"/>
    </xf>
    <xf numFmtId="1" fontId="70" fillId="19" borderId="2" xfId="5" applyNumberFormat="1" applyFont="1" applyFill="1" applyBorder="1" applyAlignment="1">
      <alignment horizontal="center" vertical="center" wrapText="1"/>
    </xf>
    <xf numFmtId="0" fontId="70" fillId="19" borderId="2" xfId="5" applyNumberFormat="1" applyFont="1" applyFill="1" applyBorder="1" applyAlignment="1">
      <alignment horizontal="center" vertical="center" wrapText="1"/>
    </xf>
    <xf numFmtId="43" fontId="70" fillId="19" borderId="6" xfId="5" applyFont="1" applyFill="1" applyBorder="1" applyAlignment="1">
      <alignment horizontal="center" vertical="center" wrapText="1"/>
    </xf>
    <xf numFmtId="43" fontId="70" fillId="19" borderId="2" xfId="5" applyFont="1" applyFill="1" applyBorder="1" applyAlignment="1">
      <alignment horizontal="center" wrapText="1"/>
    </xf>
    <xf numFmtId="165" fontId="70" fillId="19" borderId="2" xfId="5" applyNumberFormat="1" applyFont="1" applyFill="1" applyBorder="1" applyAlignment="1">
      <alignment horizontal="center" vertical="center" wrapText="1"/>
    </xf>
    <xf numFmtId="166" fontId="70" fillId="19" borderId="2" xfId="5" applyNumberFormat="1" applyFont="1" applyFill="1" applyBorder="1" applyAlignment="1">
      <alignment horizontal="center" vertical="center" wrapText="1"/>
    </xf>
    <xf numFmtId="0" fontId="73" fillId="0" borderId="2" xfId="0" applyFont="1" applyBorder="1" applyAlignment="1">
      <alignment horizontal="center"/>
    </xf>
    <xf numFmtId="0" fontId="73" fillId="0" borderId="2" xfId="5" applyNumberFormat="1" applyFont="1" applyBorder="1" applyAlignment="1">
      <alignment horizontal="center" vertical="center"/>
    </xf>
    <xf numFmtId="0" fontId="73" fillId="2" borderId="2" xfId="0" applyFont="1" applyFill="1" applyBorder="1" applyAlignment="1">
      <alignment horizontal="center" wrapText="1"/>
    </xf>
    <xf numFmtId="0" fontId="76" fillId="0" borderId="2" xfId="0" applyFont="1" applyBorder="1" applyAlignment="1">
      <alignment wrapText="1"/>
    </xf>
    <xf numFmtId="0" fontId="74" fillId="2" borderId="2" xfId="3" applyFont="1" applyFill="1" applyBorder="1" applyAlignment="1" applyProtection="1">
      <alignment horizontal="center" vertical="center" wrapText="1"/>
      <protection locked="0"/>
    </xf>
    <xf numFmtId="1" fontId="76" fillId="2" borderId="2" xfId="8" applyNumberFormat="1" applyFont="1" applyFill="1" applyBorder="1" applyAlignment="1">
      <alignment horizontal="center" vertical="center" wrapText="1"/>
    </xf>
    <xf numFmtId="0" fontId="74" fillId="2" borderId="2" xfId="3" applyFont="1" applyFill="1" applyBorder="1" applyAlignment="1" applyProtection="1">
      <alignment horizontal="center" vertical="top" wrapText="1"/>
      <protection locked="0"/>
    </xf>
    <xf numFmtId="0" fontId="73" fillId="0" borderId="2" xfId="0" applyFont="1" applyBorder="1"/>
    <xf numFmtId="169" fontId="74" fillId="2" borderId="2" xfId="3" applyNumberFormat="1" applyFont="1" applyFill="1" applyBorder="1" applyAlignment="1" applyProtection="1">
      <alignment horizontal="center" vertical="center" wrapText="1"/>
      <protection locked="0"/>
    </xf>
    <xf numFmtId="1" fontId="74" fillId="2" borderId="2" xfId="5" applyNumberFormat="1" applyFont="1" applyFill="1" applyBorder="1" applyAlignment="1">
      <alignment horizontal="center" vertical="center"/>
    </xf>
    <xf numFmtId="0" fontId="73" fillId="0" borderId="0" xfId="0" applyFont="1" applyAlignment="1">
      <alignment vertical="center" wrapText="1"/>
    </xf>
    <xf numFmtId="0" fontId="73" fillId="0" borderId="2" xfId="0" quotePrefix="1" applyFont="1" applyBorder="1"/>
    <xf numFmtId="166" fontId="75" fillId="0" borderId="2" xfId="5" applyNumberFormat="1" applyFont="1" applyFill="1" applyBorder="1" applyAlignment="1">
      <alignment horizontal="center" vertical="center" wrapText="1"/>
    </xf>
    <xf numFmtId="43" fontId="75" fillId="0" borderId="0" xfId="5" applyFont="1" applyFill="1" applyBorder="1" applyAlignment="1">
      <alignment horizontal="center" vertical="center" wrapText="1"/>
    </xf>
    <xf numFmtId="0" fontId="74" fillId="0" borderId="2" xfId="0" applyFont="1" applyBorder="1" applyAlignment="1">
      <alignment vertical="center"/>
    </xf>
    <xf numFmtId="43" fontId="75" fillId="0" borderId="2" xfId="5" applyFont="1" applyFill="1" applyBorder="1" applyAlignment="1">
      <alignment horizontal="center" vertical="center"/>
    </xf>
    <xf numFmtId="1" fontId="73" fillId="2" borderId="2" xfId="0" applyNumberFormat="1" applyFont="1" applyFill="1" applyBorder="1" applyAlignment="1">
      <alignment horizontal="center" vertical="center"/>
    </xf>
    <xf numFmtId="15" fontId="73" fillId="0" borderId="2" xfId="0" applyNumberFormat="1" applyFont="1" applyBorder="1" applyAlignment="1">
      <alignment horizontal="center"/>
    </xf>
    <xf numFmtId="0" fontId="73" fillId="0" borderId="2" xfId="0" applyFont="1" applyBorder="1" applyAlignment="1">
      <alignment wrapText="1"/>
    </xf>
    <xf numFmtId="0" fontId="73" fillId="0" borderId="2" xfId="0" applyFont="1" applyBorder="1" applyAlignment="1">
      <alignment horizontal="center" wrapText="1"/>
    </xf>
    <xf numFmtId="0" fontId="73" fillId="0" borderId="0" xfId="0" applyFont="1" applyAlignment="1">
      <alignment wrapText="1"/>
    </xf>
    <xf numFmtId="0" fontId="73" fillId="0" borderId="0" xfId="0" applyFont="1" applyAlignment="1">
      <alignment horizontal="center" wrapText="1"/>
    </xf>
    <xf numFmtId="43" fontId="70" fillId="19" borderId="49" xfId="5" applyFont="1" applyFill="1" applyBorder="1" applyAlignment="1">
      <alignment horizontal="center" vertical="center" wrapText="1"/>
    </xf>
    <xf numFmtId="0" fontId="76" fillId="22" borderId="2" xfId="0" applyFont="1" applyFill="1" applyBorder="1" applyAlignment="1">
      <alignment wrapText="1"/>
    </xf>
    <xf numFmtId="22" fontId="78" fillId="2" borderId="2" xfId="5" applyNumberFormat="1" applyFont="1" applyFill="1" applyBorder="1" applyAlignment="1">
      <alignment horizontal="center" vertical="center" wrapText="1"/>
    </xf>
    <xf numFmtId="167" fontId="28" fillId="0" borderId="2" xfId="5" applyNumberFormat="1" applyFont="1" applyFill="1" applyBorder="1" applyAlignment="1">
      <alignment horizontal="center" vertical="center"/>
    </xf>
    <xf numFmtId="43" fontId="79" fillId="0" borderId="2" xfId="5" applyFont="1" applyFill="1" applyBorder="1" applyAlignment="1">
      <alignment horizontal="left" vertical="center"/>
    </xf>
    <xf numFmtId="0" fontId="21" fillId="0" borderId="13" xfId="10" applyFont="1" applyBorder="1" applyAlignment="1">
      <alignment horizontal="center" wrapText="1"/>
    </xf>
    <xf numFmtId="0" fontId="21" fillId="0" borderId="0" xfId="10" applyFont="1" applyAlignment="1">
      <alignment horizontal="center" wrapText="1"/>
    </xf>
    <xf numFmtId="0" fontId="21" fillId="0" borderId="31" xfId="10" applyFont="1" applyBorder="1" applyAlignment="1">
      <alignment horizontal="center" wrapText="1"/>
    </xf>
    <xf numFmtId="0" fontId="34" fillId="0" borderId="10" xfId="10" applyFont="1" applyBorder="1" applyAlignment="1">
      <alignment horizontal="center" vertical="center" wrapText="1"/>
    </xf>
    <xf numFmtId="0" fontId="34" fillId="0" borderId="12" xfId="10" applyFont="1" applyBorder="1" applyAlignment="1">
      <alignment horizontal="center" vertical="center" wrapText="1"/>
    </xf>
    <xf numFmtId="0" fontId="28" fillId="16" borderId="11" xfId="10" applyFont="1" applyFill="1" applyBorder="1" applyAlignment="1">
      <alignment horizontal="center" vertical="center" wrapText="1"/>
    </xf>
    <xf numFmtId="0" fontId="39" fillId="19" borderId="0" xfId="2" applyFont="1" applyFill="1" applyAlignment="1">
      <alignment horizontal="center" vertical="center" wrapText="1"/>
    </xf>
    <xf numFmtId="0" fontId="30" fillId="20" borderId="0" xfId="2" applyFont="1" applyFill="1" applyAlignment="1">
      <alignment horizontal="center" vertical="center"/>
    </xf>
    <xf numFmtId="0" fontId="27" fillId="14" borderId="0" xfId="13" applyFont="1" applyFill="1" applyBorder="1" applyAlignment="1" applyProtection="1">
      <alignment horizontal="left" vertical="center" wrapText="1"/>
    </xf>
    <xf numFmtId="0" fontId="52" fillId="2" borderId="10" xfId="10" applyFont="1" applyFill="1" applyBorder="1" applyAlignment="1">
      <alignment horizontal="center" vertical="center" wrapText="1"/>
    </xf>
    <xf numFmtId="0" fontId="52" fillId="2" borderId="12" xfId="10" applyFont="1" applyFill="1" applyBorder="1" applyAlignment="1">
      <alignment horizontal="center" vertical="center" wrapText="1"/>
    </xf>
    <xf numFmtId="0" fontId="51" fillId="19" borderId="32" xfId="2" applyFont="1" applyFill="1" applyBorder="1" applyAlignment="1">
      <alignment vertical="center"/>
    </xf>
    <xf numFmtId="0" fontId="51" fillId="19" borderId="34" xfId="2" applyFont="1" applyFill="1" applyBorder="1" applyAlignment="1">
      <alignment vertical="center"/>
    </xf>
    <xf numFmtId="0" fontId="5" fillId="0" borderId="2" xfId="2" applyBorder="1" applyAlignment="1">
      <alignment horizontal="center" vertical="center"/>
    </xf>
    <xf numFmtId="0" fontId="38" fillId="0" borderId="3" xfId="10" applyFont="1" applyBorder="1" applyAlignment="1">
      <alignment horizontal="left" vertical="center" wrapText="1"/>
    </xf>
    <xf numFmtId="0" fontId="38" fillId="0" borderId="4" xfId="10" applyFont="1" applyBorder="1" applyAlignment="1">
      <alignment horizontal="left" vertical="center" wrapText="1"/>
    </xf>
    <xf numFmtId="0" fontId="36" fillId="0" borderId="24" xfId="10" applyFont="1" applyBorder="1" applyAlignment="1">
      <alignment horizontal="center" vertical="center" wrapText="1"/>
    </xf>
    <xf numFmtId="0" fontId="36" fillId="0" borderId="12" xfId="10" applyFont="1" applyBorder="1" applyAlignment="1">
      <alignment horizontal="center" vertical="center" wrapText="1"/>
    </xf>
    <xf numFmtId="0" fontId="36" fillId="0" borderId="25" xfId="10" applyFont="1" applyBorder="1" applyAlignment="1">
      <alignment horizontal="center" vertical="center" wrapText="1"/>
    </xf>
    <xf numFmtId="0" fontId="29" fillId="16" borderId="26" xfId="10" applyFont="1" applyFill="1" applyBorder="1" applyAlignment="1">
      <alignment horizontal="center" vertical="center" wrapText="1"/>
    </xf>
    <xf numFmtId="0" fontId="29" fillId="16" borderId="11" xfId="10" applyFont="1" applyFill="1" applyBorder="1" applyAlignment="1">
      <alignment horizontal="center" vertical="center" wrapText="1"/>
    </xf>
    <xf numFmtId="0" fontId="29" fillId="16" borderId="27" xfId="10" applyFont="1" applyFill="1" applyBorder="1" applyAlignment="1">
      <alignment horizontal="center" vertical="center" wrapText="1"/>
    </xf>
    <xf numFmtId="0" fontId="37" fillId="19" borderId="28" xfId="10" applyFont="1" applyFill="1" applyBorder="1" applyAlignment="1">
      <alignment horizontal="center" vertical="center" wrapText="1"/>
    </xf>
    <xf numFmtId="0" fontId="37" fillId="19" borderId="22" xfId="10" applyFont="1" applyFill="1" applyBorder="1" applyAlignment="1">
      <alignment horizontal="center" vertical="center" wrapText="1"/>
    </xf>
    <xf numFmtId="0" fontId="5" fillId="0" borderId="3" xfId="10" applyFont="1" applyBorder="1" applyAlignment="1">
      <alignment horizontal="left" vertical="center" wrapText="1"/>
    </xf>
    <xf numFmtId="0" fontId="5" fillId="0" borderId="4" xfId="10" applyFont="1" applyBorder="1" applyAlignment="1">
      <alignment horizontal="left" vertical="center" wrapText="1"/>
    </xf>
    <xf numFmtId="0" fontId="42" fillId="16" borderId="13" xfId="11" applyNumberFormat="1" applyFont="1" applyFill="1" applyBorder="1" applyAlignment="1" applyProtection="1">
      <alignment horizontal="left" vertical="center"/>
    </xf>
    <xf numFmtId="0" fontId="42" fillId="16" borderId="0" xfId="11" applyNumberFormat="1" applyFont="1" applyFill="1" applyBorder="1" applyAlignment="1" applyProtection="1">
      <alignment horizontal="left" vertical="center"/>
    </xf>
    <xf numFmtId="43" fontId="76" fillId="2" borderId="2" xfId="5" applyFont="1" applyFill="1" applyBorder="1" applyAlignment="1">
      <alignment horizontal="center" vertical="center" wrapText="1"/>
    </xf>
    <xf numFmtId="43" fontId="74" fillId="2" borderId="2" xfId="5" applyFont="1" applyFill="1" applyBorder="1" applyAlignment="1">
      <alignment horizontal="center" vertical="center" wrapText="1"/>
    </xf>
    <xf numFmtId="0" fontId="56" fillId="22" borderId="2" xfId="16" applyFont="1" applyFill="1" applyBorder="1" applyAlignment="1">
      <alignment horizontal="center" vertical="center"/>
    </xf>
    <xf numFmtId="0" fontId="56" fillId="0" borderId="2" xfId="0" applyFont="1" applyBorder="1" applyAlignment="1">
      <alignment horizontal="center" vertical="center"/>
    </xf>
    <xf numFmtId="0" fontId="56" fillId="7" borderId="2" xfId="16" applyFont="1" applyFill="1" applyBorder="1" applyAlignment="1">
      <alignment horizontal="center" vertical="center"/>
    </xf>
    <xf numFmtId="0" fontId="44" fillId="19" borderId="2" xfId="0" applyFont="1" applyFill="1" applyBorder="1" applyAlignment="1">
      <alignment horizontal="center" wrapText="1"/>
    </xf>
    <xf numFmtId="0" fontId="44" fillId="19" borderId="2" xfId="0" applyFont="1" applyFill="1" applyBorder="1" applyAlignment="1">
      <alignment horizontal="center" vertical="center" wrapText="1"/>
    </xf>
    <xf numFmtId="0" fontId="44" fillId="19" borderId="2" xfId="0" applyFont="1" applyFill="1" applyBorder="1" applyAlignment="1">
      <alignment horizontal="center" vertical="center"/>
    </xf>
    <xf numFmtId="0" fontId="2" fillId="4" borderId="5"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4" xfId="0" applyFont="1" applyFill="1" applyBorder="1" applyAlignment="1">
      <alignment horizontal="center" vertical="center"/>
    </xf>
    <xf numFmtId="0" fontId="2" fillId="9" borderId="3" xfId="0" applyFont="1" applyFill="1" applyBorder="1" applyAlignment="1">
      <alignment horizontal="center" vertical="center"/>
    </xf>
    <xf numFmtId="0" fontId="2" fillId="9" borderId="5" xfId="0" applyFont="1" applyFill="1" applyBorder="1" applyAlignment="1">
      <alignment horizontal="center" vertical="center"/>
    </xf>
    <xf numFmtId="0" fontId="2" fillId="9" borderId="4"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5" xfId="0" applyFont="1" applyFill="1" applyBorder="1" applyAlignment="1">
      <alignment horizontal="center" vertical="center"/>
    </xf>
    <xf numFmtId="0" fontId="19" fillId="0" borderId="0" xfId="10" applyAlignment="1"/>
  </cellXfs>
  <cellStyles count="17">
    <cellStyle name="C:\Data\MS\Excel" xfId="1" xr:uid="{00000000-0005-0000-0000-000000000000}"/>
    <cellStyle name="Comma 2" xfId="5" xr:uid="{00000000-0005-0000-0000-000001000000}"/>
    <cellStyle name="Comma 2 2" xfId="14" xr:uid="{C510D3BA-3320-419A-885B-064C6D173174}"/>
    <cellStyle name="Hyperlink" xfId="11" builtinId="8"/>
    <cellStyle name="Hyperlink 2" xfId="9" xr:uid="{00000000-0005-0000-0000-000003000000}"/>
    <cellStyle name="Hyperlink 3" xfId="13" xr:uid="{3BC551C6-8640-406B-9175-E1CB7EA45FF7}"/>
    <cellStyle name="Hyperlink 4" xfId="15" xr:uid="{8728A439-933F-497C-AFA9-CAADB8BAFA15}"/>
    <cellStyle name="Normal" xfId="0" builtinId="0"/>
    <cellStyle name="Normal 19" xfId="3" xr:uid="{00000000-0005-0000-0000-000005000000}"/>
    <cellStyle name="Normal 2" xfId="12" xr:uid="{00000000-0005-0000-0000-000006000000}"/>
    <cellStyle name="Normal 2 2" xfId="16" xr:uid="{DB7FA051-061F-4643-B65A-2F6CBAA38FDD}"/>
    <cellStyle name="Normal 3 3 2 2 2" xfId="7" xr:uid="{00000000-0005-0000-0000-000007000000}"/>
    <cellStyle name="Normal 3 3 3 2" xfId="4" xr:uid="{00000000-0005-0000-0000-000008000000}"/>
    <cellStyle name="Normal 3 3 4" xfId="8" xr:uid="{00000000-0005-0000-0000-000009000000}"/>
    <cellStyle name="Normal 42" xfId="2" xr:uid="{00000000-0005-0000-0000-00000A000000}"/>
    <cellStyle name="Normal_P2V Migration Approach and Move Groups 0.8" xfId="6" xr:uid="{00000000-0005-0000-0000-00000B000000}"/>
    <cellStyle name="Style 1" xfId="10" xr:uid="{00000000-0005-0000-0000-00000C000000}"/>
  </cellStyles>
  <dxfs count="72">
    <dxf>
      <font>
        <color rgb="FF9C0006"/>
      </font>
      <fill>
        <patternFill>
          <bgColor rgb="FFFFC7CE"/>
        </patternFill>
      </fill>
    </dxf>
    <dxf>
      <font>
        <color rgb="FF9C0006"/>
      </font>
      <fill>
        <patternFill>
          <bgColor rgb="FFFFC7CE"/>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ont>
        <b/>
        <i val="0"/>
        <condense val="0"/>
        <extend val="0"/>
        <color auto="1"/>
      </font>
      <fill>
        <patternFill>
          <bgColor indexed="52"/>
        </patternFill>
      </fill>
    </dxf>
    <dxf>
      <font>
        <b/>
        <i val="0"/>
        <condense val="0"/>
        <extend val="0"/>
        <color auto="1"/>
      </font>
      <fill>
        <patternFill>
          <bgColor indexed="10"/>
        </patternFill>
      </fill>
    </dxf>
    <dxf>
      <font>
        <b/>
        <i val="0"/>
        <condense val="0"/>
        <extend val="0"/>
        <color auto="1"/>
      </font>
      <fill>
        <patternFill>
          <bgColor indexed="52"/>
        </patternFill>
      </fill>
    </dxf>
    <dxf>
      <font>
        <b/>
        <i val="0"/>
        <condense val="0"/>
        <extend val="0"/>
        <color auto="1"/>
      </font>
      <fill>
        <patternFill>
          <bgColor indexed="10"/>
        </patternFill>
      </fill>
    </dxf>
    <dxf>
      <font>
        <b/>
        <i val="0"/>
        <condense val="0"/>
        <extend val="0"/>
        <color auto="1"/>
      </font>
      <fill>
        <patternFill>
          <bgColor indexed="52"/>
        </patternFill>
      </fill>
    </dxf>
    <dxf>
      <font>
        <b/>
        <i val="0"/>
        <condense val="0"/>
        <extend val="0"/>
        <color auto="1"/>
      </font>
      <fill>
        <patternFill>
          <bgColor indexed="10"/>
        </patternFill>
      </fill>
    </dxf>
    <dxf>
      <font>
        <b/>
        <i val="0"/>
        <condense val="0"/>
        <extend val="0"/>
        <color auto="1"/>
      </font>
      <fill>
        <patternFill>
          <bgColor indexed="52"/>
        </patternFill>
      </fill>
    </dxf>
    <dxf>
      <font>
        <b/>
        <i val="0"/>
        <condense val="0"/>
        <extend val="0"/>
        <color auto="1"/>
      </font>
      <fill>
        <patternFill>
          <bgColor indexed="10"/>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bgColor indexed="10"/>
        </patternFill>
      </fill>
    </dxf>
    <dxf>
      <font>
        <condense val="0"/>
        <extend val="0"/>
        <color indexed="9"/>
      </font>
      <fill>
        <patternFill>
          <bgColor indexed="12"/>
        </patternFill>
      </fill>
    </dxf>
    <dxf>
      <fill>
        <patternFill>
          <bgColor indexed="11"/>
        </patternFill>
      </fill>
    </dxf>
    <dxf>
      <fill>
        <patternFill patternType="solid">
          <fgColor theme="2" tint="0.59996337778862885"/>
          <bgColor theme="0" tint="-4.9989318521683403E-2"/>
        </patternFill>
      </fill>
    </dxf>
    <dxf>
      <fill>
        <patternFill patternType="solid">
          <fgColor theme="2" tint="0.79995117038483843"/>
          <bgColor theme="2"/>
        </patternFill>
      </fill>
    </dxf>
    <dxf>
      <border>
        <top style="thin">
          <color theme="6" tint="-0.499984740745262"/>
        </top>
      </border>
    </dxf>
    <dxf>
      <font>
        <color theme="2" tint="0.79995117038483843"/>
      </font>
      <fill>
        <patternFill>
          <bgColor theme="6" tint="-0.499984740745262"/>
        </patternFill>
      </fill>
      <border>
        <top style="thick">
          <color theme="0"/>
        </top>
      </border>
    </dxf>
    <dxf>
      <font>
        <b val="0"/>
        <i val="0"/>
        <color auto="1"/>
      </font>
      <fill>
        <patternFill patternType="none">
          <bgColor auto="1"/>
        </patternFill>
      </fill>
      <border diagonalUp="0" diagonalDown="0">
        <left/>
        <right/>
        <top/>
        <bottom style="thin">
          <color theme="6" tint="-0.499984740745262"/>
        </bottom>
        <vertical/>
        <horizontal/>
      </border>
    </dxf>
  </dxfs>
  <tableStyles count="1" defaultTableStyle="TableStyleMedium2" defaultPivotStyle="PivotStyleLight16">
    <tableStyle name="Address Book" pivot="0" count="5" xr9:uid="{00000000-0011-0000-FFFF-FFFF00000000}">
      <tableStyleElement type="wholeTable" dxfId="71"/>
      <tableStyleElement type="headerRow" dxfId="70"/>
      <tableStyleElement type="totalRow" dxfId="69"/>
      <tableStyleElement type="firstRowStripe" dxfId="68"/>
      <tableStyleElement type="secondRowStripe" dxfId="67"/>
    </tableStyle>
  </tableStyles>
  <colors>
    <mruColors>
      <color rgb="FFDEFCFE"/>
      <color rgb="FFCEFCFE"/>
      <color rgb="FFFF5050"/>
      <color rgb="FF99FF99"/>
      <color rgb="FFACB6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8" Type="http://schemas.openxmlformats.org/officeDocument/2006/relationships/hyperlink" Target="#RACI!A1"/><Relationship Id="rId3" Type="http://schemas.openxmlformats.org/officeDocument/2006/relationships/hyperlink" Target="#'Contact List'!A1"/><Relationship Id="rId7" Type="http://schemas.openxmlformats.org/officeDocument/2006/relationships/hyperlink" Target="#'Rollback Plan'!A1"/><Relationship Id="rId2" Type="http://schemas.openxmlformats.org/officeDocument/2006/relationships/hyperlink" Target="#'Change Approvals'!A1"/><Relationship Id="rId1" Type="http://schemas.openxmlformats.org/officeDocument/2006/relationships/hyperlink" Target="#Glossary!A1"/><Relationship Id="rId6" Type="http://schemas.openxmlformats.org/officeDocument/2006/relationships/hyperlink" Target="#'Post-Migration-AWS'!A1"/><Relationship Id="rId5" Type="http://schemas.openxmlformats.org/officeDocument/2006/relationships/hyperlink" Target="#'Migration-AWS'!A1"/><Relationship Id="rId10" Type="http://schemas.openxmlformats.org/officeDocument/2006/relationships/hyperlink" Target="#'Infra-Firewall-Change'!A1"/><Relationship Id="rId4" Type="http://schemas.openxmlformats.org/officeDocument/2006/relationships/hyperlink" Target="#'CI In-scope'!A1"/><Relationship Id="rId9" Type="http://schemas.openxmlformats.org/officeDocument/2006/relationships/hyperlink" Target="#'Pre-Migration-AWS'!A1"/></Relationships>
</file>

<file path=xl/drawings/drawing1.xml><?xml version="1.0" encoding="utf-8"?>
<xdr:wsDr xmlns:xdr="http://schemas.openxmlformats.org/drawingml/2006/spreadsheetDrawing" xmlns:a="http://schemas.openxmlformats.org/drawingml/2006/main">
  <xdr:twoCellAnchor>
    <xdr:from>
      <xdr:col>1</xdr:col>
      <xdr:colOff>619125</xdr:colOff>
      <xdr:row>16</xdr:row>
      <xdr:rowOff>0</xdr:rowOff>
    </xdr:from>
    <xdr:to>
      <xdr:col>2</xdr:col>
      <xdr:colOff>466725</xdr:colOff>
      <xdr:row>19</xdr:row>
      <xdr:rowOff>47625</xdr:rowOff>
    </xdr:to>
    <xdr:sp macro="" textlink="">
      <xdr:nvSpPr>
        <xdr:cNvPr id="3" name="Oval 2">
          <a:extLst>
            <a:ext uri="{FF2B5EF4-FFF2-40B4-BE49-F238E27FC236}">
              <a16:creationId xmlns:a16="http://schemas.microsoft.com/office/drawing/2014/main" id="{D725F28E-A833-4ECC-8163-1BD5F1191CA1}"/>
            </a:ext>
          </a:extLst>
        </xdr:cNvPr>
        <xdr:cNvSpPr>
          <a:spLocks noChangeArrowheads="1"/>
        </xdr:cNvSpPr>
      </xdr:nvSpPr>
      <xdr:spPr bwMode="white">
        <a:xfrm>
          <a:off x="1221105" y="2682240"/>
          <a:ext cx="464820" cy="550545"/>
        </a:xfrm>
        <a:prstGeom prst="ellipse">
          <a:avLst/>
        </a:prstGeom>
        <a:solidFill>
          <a:srgbClr val="FFFFFF"/>
        </a:solidFill>
        <a:ln w="9525">
          <a:noFill/>
          <a:round/>
          <a:headEnd/>
          <a:tailEnd/>
        </a:ln>
      </xdr:spPr>
    </xdr:sp>
    <xdr:clientData/>
  </xdr:twoCellAnchor>
  <xdr:twoCellAnchor>
    <xdr:from>
      <xdr:col>1</xdr:col>
      <xdr:colOff>219075</xdr:colOff>
      <xdr:row>15</xdr:row>
      <xdr:rowOff>38100</xdr:rowOff>
    </xdr:from>
    <xdr:to>
      <xdr:col>1</xdr:col>
      <xdr:colOff>419100</xdr:colOff>
      <xdr:row>17</xdr:row>
      <xdr:rowOff>114300</xdr:rowOff>
    </xdr:to>
    <xdr:sp macro="" textlink="">
      <xdr:nvSpPr>
        <xdr:cNvPr id="4" name="Freeform 4">
          <a:extLst>
            <a:ext uri="{FF2B5EF4-FFF2-40B4-BE49-F238E27FC236}">
              <a16:creationId xmlns:a16="http://schemas.microsoft.com/office/drawing/2014/main" id="{30FABDD9-4720-41C1-9EEB-CDC0E5134A6A}"/>
            </a:ext>
          </a:extLst>
        </xdr:cNvPr>
        <xdr:cNvSpPr>
          <a:spLocks/>
        </xdr:cNvSpPr>
      </xdr:nvSpPr>
      <xdr:spPr bwMode="white">
        <a:xfrm>
          <a:off x="828675" y="2552700"/>
          <a:ext cx="200025" cy="411480"/>
        </a:xfrm>
        <a:custGeom>
          <a:avLst/>
          <a:gdLst>
            <a:gd name="T0" fmla="*/ 2147483647 w 126"/>
            <a:gd name="T1" fmla="*/ 2147483647 h 249"/>
            <a:gd name="T2" fmla="*/ 2147483647 w 126"/>
            <a:gd name="T3" fmla="*/ 2147483647 h 249"/>
            <a:gd name="T4" fmla="*/ 2147483647 w 126"/>
            <a:gd name="T5" fmla="*/ 2147483647 h 249"/>
            <a:gd name="T6" fmla="*/ 2147483647 w 126"/>
            <a:gd name="T7" fmla="*/ 2147483647 h 249"/>
            <a:gd name="T8" fmla="*/ 0 w 126"/>
            <a:gd name="T9" fmla="*/ 0 h 249"/>
            <a:gd name="T10" fmla="*/ 2147483647 w 126"/>
            <a:gd name="T11" fmla="*/ 2147483647 h 249"/>
            <a:gd name="T12" fmla="*/ 0 60000 65536"/>
            <a:gd name="T13" fmla="*/ 0 60000 65536"/>
            <a:gd name="T14" fmla="*/ 0 60000 65536"/>
            <a:gd name="T15" fmla="*/ 0 60000 65536"/>
            <a:gd name="T16" fmla="*/ 0 60000 65536"/>
            <a:gd name="T17" fmla="*/ 0 60000 65536"/>
            <a:gd name="T18" fmla="*/ 0 w 126"/>
            <a:gd name="T19" fmla="*/ 0 h 249"/>
            <a:gd name="T20" fmla="*/ 126 w 126"/>
            <a:gd name="T21" fmla="*/ 249 h 249"/>
          </a:gdLst>
          <a:ahLst/>
          <a:cxnLst>
            <a:cxn ang="T12">
              <a:pos x="T0" y="T1"/>
            </a:cxn>
            <a:cxn ang="T13">
              <a:pos x="T2" y="T3"/>
            </a:cxn>
            <a:cxn ang="T14">
              <a:pos x="T4" y="T5"/>
            </a:cxn>
            <a:cxn ang="T15">
              <a:pos x="T6" y="T7"/>
            </a:cxn>
            <a:cxn ang="T16">
              <a:pos x="T8" y="T9"/>
            </a:cxn>
            <a:cxn ang="T17">
              <a:pos x="T10" y="T11"/>
            </a:cxn>
          </a:cxnLst>
          <a:rect l="T18" t="T19" r="T20" b="T21"/>
          <a:pathLst>
            <a:path w="126" h="249">
              <a:moveTo>
                <a:pt x="126" y="12"/>
              </a:moveTo>
              <a:lnTo>
                <a:pt x="84" y="93"/>
              </a:lnTo>
              <a:lnTo>
                <a:pt x="42" y="180"/>
              </a:lnTo>
              <a:lnTo>
                <a:pt x="12" y="249"/>
              </a:lnTo>
              <a:lnTo>
                <a:pt x="0" y="0"/>
              </a:lnTo>
              <a:lnTo>
                <a:pt x="126" y="12"/>
              </a:lnTo>
              <a:close/>
            </a:path>
          </a:pathLst>
        </a:custGeom>
        <a:solidFill>
          <a:srgbClr val="FFFFFF"/>
        </a:solidFill>
        <a:ln w="9525">
          <a:noFill/>
          <a:round/>
          <a:headEnd/>
          <a:tailEnd/>
        </a:ln>
      </xdr:spPr>
    </xdr:sp>
    <xdr:clientData/>
  </xdr:twoCellAnchor>
  <xdr:twoCellAnchor>
    <xdr:from>
      <xdr:col>0</xdr:col>
      <xdr:colOff>725805</xdr:colOff>
      <xdr:row>33</xdr:row>
      <xdr:rowOff>139064</xdr:rowOff>
    </xdr:from>
    <xdr:to>
      <xdr:col>12</xdr:col>
      <xdr:colOff>20955</xdr:colOff>
      <xdr:row>35</xdr:row>
      <xdr:rowOff>15239</xdr:rowOff>
    </xdr:to>
    <xdr:sp macro="" textlink="">
      <xdr:nvSpPr>
        <xdr:cNvPr id="5" name="Text Box 6">
          <a:extLst>
            <a:ext uri="{FF2B5EF4-FFF2-40B4-BE49-F238E27FC236}">
              <a16:creationId xmlns:a16="http://schemas.microsoft.com/office/drawing/2014/main" id="{AA4888C5-9F9C-498C-AB25-D333D5CA1212}"/>
            </a:ext>
          </a:extLst>
        </xdr:cNvPr>
        <xdr:cNvSpPr txBox="1">
          <a:spLocks noChangeArrowheads="1"/>
        </xdr:cNvSpPr>
      </xdr:nvSpPr>
      <xdr:spPr bwMode="auto">
        <a:xfrm>
          <a:off x="725805" y="4406264"/>
          <a:ext cx="9025890" cy="211455"/>
        </a:xfrm>
        <a:prstGeom prst="rect">
          <a:avLst/>
        </a:prstGeom>
        <a:solidFill>
          <a:schemeClr val="tx1">
            <a:lumMod val="95000"/>
            <a:lumOff val="5000"/>
          </a:schemeClr>
        </a:solidFill>
        <a:ln w="9525">
          <a:solidFill>
            <a:srgbClr val="333399"/>
          </a:solidFill>
          <a:miter lim="800000"/>
          <a:headEnd/>
          <a:tailEnd/>
        </a:ln>
      </xdr:spPr>
      <xdr:txBody>
        <a:bodyPr vertOverflow="clip" wrap="square" lIns="36576" tIns="22860" rIns="36576" bIns="0" anchor="t" upright="1"/>
        <a:lstStyle/>
        <a:p>
          <a:pPr algn="ctr" rtl="1">
            <a:defRPr sz="1000"/>
          </a:pPr>
          <a:endParaRPr lang="it-IT" sz="1000" b="1" i="0" strike="noStrike">
            <a:solidFill>
              <a:schemeClr val="bg1"/>
            </a:solidFill>
            <a:latin typeface="Verdana"/>
          </a:endParaRPr>
        </a:p>
      </xdr:txBody>
    </xdr:sp>
    <xdr:clientData/>
  </xdr:twoCellAnchor>
  <xdr:twoCellAnchor>
    <xdr:from>
      <xdr:col>2</xdr:col>
      <xdr:colOff>161925</xdr:colOff>
      <xdr:row>16</xdr:row>
      <xdr:rowOff>0</xdr:rowOff>
    </xdr:from>
    <xdr:to>
      <xdr:col>9</xdr:col>
      <xdr:colOff>500529</xdr:colOff>
      <xdr:row>17</xdr:row>
      <xdr:rowOff>142875</xdr:rowOff>
    </xdr:to>
    <xdr:sp macro="" textlink="">
      <xdr:nvSpPr>
        <xdr:cNvPr id="66" name="Rectangle 7">
          <a:extLst>
            <a:ext uri="{FF2B5EF4-FFF2-40B4-BE49-F238E27FC236}">
              <a16:creationId xmlns:a16="http://schemas.microsoft.com/office/drawing/2014/main" id="{179C4F01-B079-4B33-81C0-C1D025611D5A}"/>
            </a:ext>
          </a:extLst>
        </xdr:cNvPr>
        <xdr:cNvSpPr>
          <a:spLocks noChangeArrowheads="1"/>
        </xdr:cNvSpPr>
      </xdr:nvSpPr>
      <xdr:spPr bwMode="white">
        <a:xfrm>
          <a:off x="1715807" y="1150471"/>
          <a:ext cx="6793193" cy="307228"/>
        </a:xfrm>
        <a:prstGeom prst="rect">
          <a:avLst/>
        </a:prstGeom>
        <a:solidFill>
          <a:srgbClr val="FFFFFF"/>
        </a:solidFill>
        <a:ln w="9525">
          <a:noFill/>
          <a:miter lim="800000"/>
          <a:headEnd/>
          <a:tailEnd/>
        </a:ln>
      </xdr:spPr>
    </xdr:sp>
    <xdr:clientData/>
  </xdr:twoCellAnchor>
  <xdr:twoCellAnchor>
    <xdr:from>
      <xdr:col>1</xdr:col>
      <xdr:colOff>219075</xdr:colOff>
      <xdr:row>15</xdr:row>
      <xdr:rowOff>38100</xdr:rowOff>
    </xdr:from>
    <xdr:to>
      <xdr:col>1</xdr:col>
      <xdr:colOff>419100</xdr:colOff>
      <xdr:row>17</xdr:row>
      <xdr:rowOff>114300</xdr:rowOff>
    </xdr:to>
    <xdr:sp macro="" textlink="">
      <xdr:nvSpPr>
        <xdr:cNvPr id="8" name="Freeform 10">
          <a:extLst>
            <a:ext uri="{FF2B5EF4-FFF2-40B4-BE49-F238E27FC236}">
              <a16:creationId xmlns:a16="http://schemas.microsoft.com/office/drawing/2014/main" id="{C8F69696-CB50-4696-B39C-18CA837885E5}"/>
            </a:ext>
          </a:extLst>
        </xdr:cNvPr>
        <xdr:cNvSpPr>
          <a:spLocks/>
        </xdr:cNvSpPr>
      </xdr:nvSpPr>
      <xdr:spPr bwMode="white">
        <a:xfrm>
          <a:off x="828675" y="2552700"/>
          <a:ext cx="200025" cy="411480"/>
        </a:xfrm>
        <a:custGeom>
          <a:avLst/>
          <a:gdLst>
            <a:gd name="T0" fmla="*/ 2147483647 w 126"/>
            <a:gd name="T1" fmla="*/ 2147483647 h 249"/>
            <a:gd name="T2" fmla="*/ 2147483647 w 126"/>
            <a:gd name="T3" fmla="*/ 2147483647 h 249"/>
            <a:gd name="T4" fmla="*/ 2147483647 w 126"/>
            <a:gd name="T5" fmla="*/ 2147483647 h 249"/>
            <a:gd name="T6" fmla="*/ 2147483647 w 126"/>
            <a:gd name="T7" fmla="*/ 2147483647 h 249"/>
            <a:gd name="T8" fmla="*/ 0 w 126"/>
            <a:gd name="T9" fmla="*/ 0 h 249"/>
            <a:gd name="T10" fmla="*/ 2147483647 w 126"/>
            <a:gd name="T11" fmla="*/ 2147483647 h 249"/>
            <a:gd name="T12" fmla="*/ 0 60000 65536"/>
            <a:gd name="T13" fmla="*/ 0 60000 65536"/>
            <a:gd name="T14" fmla="*/ 0 60000 65536"/>
            <a:gd name="T15" fmla="*/ 0 60000 65536"/>
            <a:gd name="T16" fmla="*/ 0 60000 65536"/>
            <a:gd name="T17" fmla="*/ 0 60000 65536"/>
            <a:gd name="T18" fmla="*/ 0 w 126"/>
            <a:gd name="T19" fmla="*/ 0 h 249"/>
            <a:gd name="T20" fmla="*/ 126 w 126"/>
            <a:gd name="T21" fmla="*/ 249 h 249"/>
          </a:gdLst>
          <a:ahLst/>
          <a:cxnLst>
            <a:cxn ang="T12">
              <a:pos x="T0" y="T1"/>
            </a:cxn>
            <a:cxn ang="T13">
              <a:pos x="T2" y="T3"/>
            </a:cxn>
            <a:cxn ang="T14">
              <a:pos x="T4" y="T5"/>
            </a:cxn>
            <a:cxn ang="T15">
              <a:pos x="T6" y="T7"/>
            </a:cxn>
            <a:cxn ang="T16">
              <a:pos x="T8" y="T9"/>
            </a:cxn>
            <a:cxn ang="T17">
              <a:pos x="T10" y="T11"/>
            </a:cxn>
          </a:cxnLst>
          <a:rect l="T18" t="T19" r="T20" b="T21"/>
          <a:pathLst>
            <a:path w="126" h="249">
              <a:moveTo>
                <a:pt x="126" y="12"/>
              </a:moveTo>
              <a:lnTo>
                <a:pt x="84" y="93"/>
              </a:lnTo>
              <a:lnTo>
                <a:pt x="42" y="180"/>
              </a:lnTo>
              <a:lnTo>
                <a:pt x="12" y="249"/>
              </a:lnTo>
              <a:lnTo>
                <a:pt x="0" y="0"/>
              </a:lnTo>
              <a:lnTo>
                <a:pt x="126" y="12"/>
              </a:lnTo>
              <a:close/>
            </a:path>
          </a:pathLst>
        </a:custGeom>
        <a:solidFill>
          <a:srgbClr val="FFFFFF"/>
        </a:solidFill>
        <a:ln w="9525">
          <a:noFill/>
          <a:round/>
          <a:headEnd/>
          <a:tailEnd/>
        </a:ln>
      </xdr:spPr>
    </xdr:sp>
    <xdr:clientData/>
  </xdr:twoCellAnchor>
  <xdr:twoCellAnchor>
    <xdr:from>
      <xdr:col>3</xdr:col>
      <xdr:colOff>238125</xdr:colOff>
      <xdr:row>10</xdr:row>
      <xdr:rowOff>104775</xdr:rowOff>
    </xdr:from>
    <xdr:to>
      <xdr:col>9</xdr:col>
      <xdr:colOff>504825</xdr:colOff>
      <xdr:row>15</xdr:row>
      <xdr:rowOff>85725</xdr:rowOff>
    </xdr:to>
    <xdr:sp macro="" textlink="">
      <xdr:nvSpPr>
        <xdr:cNvPr id="55" name="Text Box 15">
          <a:extLst>
            <a:ext uri="{FF2B5EF4-FFF2-40B4-BE49-F238E27FC236}">
              <a16:creationId xmlns:a16="http://schemas.microsoft.com/office/drawing/2014/main" id="{60A929A1-8C0A-4124-AF99-53B12E263010}"/>
            </a:ext>
          </a:extLst>
        </xdr:cNvPr>
        <xdr:cNvSpPr txBox="1">
          <a:spLocks noChangeArrowheads="1"/>
        </xdr:cNvSpPr>
      </xdr:nvSpPr>
      <xdr:spPr bwMode="auto">
        <a:xfrm>
          <a:off x="2066925" y="1781175"/>
          <a:ext cx="3924300" cy="819150"/>
        </a:xfrm>
        <a:prstGeom prst="rect">
          <a:avLst/>
        </a:prstGeom>
        <a:solidFill>
          <a:srgbClr val="FFFFFF"/>
        </a:solidFill>
        <a:ln w="9525">
          <a:noFill/>
          <a:miter lim="800000"/>
          <a:headEnd/>
          <a:tailEnd/>
        </a:ln>
      </xdr:spPr>
      <xdr:txBody>
        <a:bodyPr vertOverflow="clip" wrap="square" lIns="54864" tIns="32004" rIns="54864" bIns="0" anchor="t" upright="1"/>
        <a:lstStyle/>
        <a:p>
          <a:pPr algn="ctr" rtl="0">
            <a:defRPr sz="1000"/>
          </a:pPr>
          <a:r>
            <a:rPr lang="en-US" sz="2000" b="1" i="0" strike="noStrike">
              <a:solidFill>
                <a:srgbClr val="003366"/>
              </a:solidFill>
              <a:latin typeface="Verdana"/>
              <a:ea typeface="Verdana"/>
              <a:cs typeface="Verdana"/>
            </a:rPr>
            <a:t>Trianz</a:t>
          </a:r>
          <a:r>
            <a:rPr lang="en-US" sz="2000" b="1" i="0" strike="noStrike" baseline="0">
              <a:solidFill>
                <a:srgbClr val="003366"/>
              </a:solidFill>
              <a:latin typeface="Verdana"/>
              <a:ea typeface="Verdana"/>
              <a:cs typeface="Verdana"/>
            </a:rPr>
            <a:t> | HighRadius </a:t>
          </a:r>
          <a:endParaRPr lang="en-US" sz="2000" b="1" i="0" strike="noStrike">
            <a:solidFill>
              <a:srgbClr val="003366"/>
            </a:solidFill>
            <a:latin typeface="Verdana"/>
            <a:ea typeface="Verdana"/>
            <a:cs typeface="Verdana"/>
          </a:endParaRPr>
        </a:p>
        <a:p>
          <a:pPr algn="ctr" rtl="0">
            <a:defRPr sz="1000"/>
          </a:pPr>
          <a:endParaRPr lang="en-US" sz="2000" b="1" i="0" strike="noStrike">
            <a:solidFill>
              <a:srgbClr val="003366"/>
            </a:solidFill>
            <a:latin typeface="Verdana"/>
            <a:ea typeface="Verdana"/>
            <a:cs typeface="Verdana"/>
          </a:endParaRPr>
        </a:p>
      </xdr:txBody>
    </xdr:sp>
    <xdr:clientData/>
  </xdr:twoCellAnchor>
  <xdr:twoCellAnchor>
    <xdr:from>
      <xdr:col>2</xdr:col>
      <xdr:colOff>24092</xdr:colOff>
      <xdr:row>14</xdr:row>
      <xdr:rowOff>109444</xdr:rowOff>
    </xdr:from>
    <xdr:to>
      <xdr:col>10</xdr:col>
      <xdr:colOff>598580</xdr:colOff>
      <xdr:row>15</xdr:row>
      <xdr:rowOff>90394</xdr:rowOff>
    </xdr:to>
    <xdr:sp macro="" textlink="">
      <xdr:nvSpPr>
        <xdr:cNvPr id="64" name="Rectangle 16">
          <a:extLst>
            <a:ext uri="{FF2B5EF4-FFF2-40B4-BE49-F238E27FC236}">
              <a16:creationId xmlns:a16="http://schemas.microsoft.com/office/drawing/2014/main" id="{5017F877-2FDA-4F07-8338-C71CEE2F80C7}"/>
            </a:ext>
          </a:extLst>
        </xdr:cNvPr>
        <xdr:cNvSpPr>
          <a:spLocks noChangeArrowheads="1"/>
        </xdr:cNvSpPr>
      </xdr:nvSpPr>
      <xdr:spPr bwMode="gray">
        <a:xfrm>
          <a:off x="1577974" y="931209"/>
          <a:ext cx="7641665" cy="145303"/>
        </a:xfrm>
        <a:prstGeom prst="rect">
          <a:avLst/>
        </a:prstGeom>
        <a:solidFill>
          <a:srgbClr val="FF0000"/>
        </a:solidFill>
        <a:ln w="9525">
          <a:noFill/>
          <a:miter lim="800000"/>
          <a:headEnd/>
          <a:tailEnd/>
        </a:ln>
      </xdr:spPr>
    </xdr:sp>
    <xdr:clientData/>
  </xdr:twoCellAnchor>
  <xdr:twoCellAnchor>
    <xdr:from>
      <xdr:col>2</xdr:col>
      <xdr:colOff>152400</xdr:colOff>
      <xdr:row>19</xdr:row>
      <xdr:rowOff>110490</xdr:rowOff>
    </xdr:from>
    <xdr:to>
      <xdr:col>10</xdr:col>
      <xdr:colOff>388470</xdr:colOff>
      <xdr:row>22</xdr:row>
      <xdr:rowOff>72390</xdr:rowOff>
    </xdr:to>
    <xdr:sp macro="" textlink="">
      <xdr:nvSpPr>
        <xdr:cNvPr id="68" name="Text Box 25">
          <a:extLst>
            <a:ext uri="{FF2B5EF4-FFF2-40B4-BE49-F238E27FC236}">
              <a16:creationId xmlns:a16="http://schemas.microsoft.com/office/drawing/2014/main" id="{B5A2EE6C-E903-4F98-B38E-3B8D7D3B7A1B}"/>
            </a:ext>
          </a:extLst>
        </xdr:cNvPr>
        <xdr:cNvSpPr txBox="1">
          <a:spLocks noChangeArrowheads="1"/>
        </xdr:cNvSpPr>
      </xdr:nvSpPr>
      <xdr:spPr bwMode="auto">
        <a:xfrm>
          <a:off x="1706282" y="1754019"/>
          <a:ext cx="7303247" cy="454959"/>
        </a:xfrm>
        <a:prstGeom prst="rect">
          <a:avLst/>
        </a:prstGeom>
        <a:solidFill>
          <a:srgbClr val="FFFFFF"/>
        </a:solidFill>
        <a:ln w="28575">
          <a:noFill/>
          <a:miter lim="800000"/>
          <a:headEnd/>
          <a:tailEnd/>
        </a:ln>
      </xdr:spPr>
      <xdr:txBody>
        <a:bodyPr vertOverflow="clip" wrap="square" lIns="54864" tIns="32004" rIns="54864" bIns="0" anchor="t" upright="1"/>
        <a:lstStyle/>
        <a:p>
          <a:pPr algn="ctr" rtl="1">
            <a:defRPr sz="1000"/>
          </a:pPr>
          <a:r>
            <a:rPr lang="it-IT" sz="2400" b="1" i="0" strike="noStrike">
              <a:solidFill>
                <a:srgbClr val="003366"/>
              </a:solidFill>
              <a:latin typeface="Verdana"/>
            </a:rPr>
            <a:t>  GCP to Azure Project Migration</a:t>
          </a:r>
        </a:p>
        <a:p>
          <a:pPr algn="ctr" rtl="1">
            <a:defRPr sz="1000"/>
          </a:pPr>
          <a:endParaRPr lang="it-IT" sz="2000" b="1" i="0" strike="noStrike">
            <a:solidFill>
              <a:srgbClr val="FF0000"/>
            </a:solidFill>
            <a:latin typeface="Verdana"/>
          </a:endParaRPr>
        </a:p>
        <a:p>
          <a:pPr algn="ctr" rtl="1">
            <a:defRPr sz="1000"/>
          </a:pPr>
          <a:endParaRPr lang="it-IT" sz="2000" b="1" i="0" strike="noStrike">
            <a:solidFill>
              <a:srgbClr val="003366"/>
            </a:solidFill>
            <a:latin typeface="Verdana"/>
          </a:endParaRPr>
        </a:p>
      </xdr:txBody>
    </xdr:sp>
    <xdr:clientData/>
  </xdr:twoCellAnchor>
  <xdr:twoCellAnchor>
    <xdr:from>
      <xdr:col>2</xdr:col>
      <xdr:colOff>438150</xdr:colOff>
      <xdr:row>25</xdr:row>
      <xdr:rowOff>47625</xdr:rowOff>
    </xdr:from>
    <xdr:to>
      <xdr:col>10</xdr:col>
      <xdr:colOff>600075</xdr:colOff>
      <xdr:row>27</xdr:row>
      <xdr:rowOff>76200</xdr:rowOff>
    </xdr:to>
    <xdr:sp macro="" textlink="">
      <xdr:nvSpPr>
        <xdr:cNvPr id="12" name="Text Box 26">
          <a:extLst>
            <a:ext uri="{FF2B5EF4-FFF2-40B4-BE49-F238E27FC236}">
              <a16:creationId xmlns:a16="http://schemas.microsoft.com/office/drawing/2014/main" id="{96EE3D3F-CF28-416D-AF60-0F927C9670FB}"/>
            </a:ext>
          </a:extLst>
        </xdr:cNvPr>
        <xdr:cNvSpPr txBox="1">
          <a:spLocks noChangeArrowheads="1"/>
        </xdr:cNvSpPr>
      </xdr:nvSpPr>
      <xdr:spPr bwMode="auto">
        <a:xfrm>
          <a:off x="1657350" y="4238625"/>
          <a:ext cx="5038725" cy="363855"/>
        </a:xfrm>
        <a:prstGeom prst="rect">
          <a:avLst/>
        </a:prstGeom>
        <a:solidFill>
          <a:srgbClr val="FFFFFF"/>
        </a:solidFill>
        <a:ln w="28575">
          <a:noFill/>
          <a:miter lim="800000"/>
          <a:headEnd/>
          <a:tailEnd/>
        </a:ln>
      </xdr:spPr>
      <xdr:txBody>
        <a:bodyPr vertOverflow="clip" wrap="square" lIns="54864" tIns="32004" rIns="54864" bIns="0" anchor="t" upright="1"/>
        <a:lstStyle/>
        <a:p>
          <a:pPr algn="ctr" rtl="0">
            <a:defRPr sz="1000"/>
          </a:pPr>
          <a:r>
            <a:rPr lang="en-US" sz="2000" b="1" i="0" strike="noStrike">
              <a:solidFill>
                <a:srgbClr val="003366"/>
              </a:solidFill>
              <a:latin typeface="Verdana"/>
              <a:ea typeface="Verdana"/>
              <a:cs typeface="Verdana"/>
            </a:rPr>
            <a:t>Migration Planning Runbook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14570</xdr:colOff>
      <xdr:row>0</xdr:row>
      <xdr:rowOff>1</xdr:rowOff>
    </xdr:from>
    <xdr:to>
      <xdr:col>4</xdr:col>
      <xdr:colOff>727362</xdr:colOff>
      <xdr:row>1</xdr:row>
      <xdr:rowOff>0</xdr:rowOff>
    </xdr:to>
    <xdr:sp macro="" textlink="">
      <xdr:nvSpPr>
        <xdr:cNvPr id="48" name="TextBox 1">
          <a:extLst>
            <a:ext uri="{FF2B5EF4-FFF2-40B4-BE49-F238E27FC236}">
              <a16:creationId xmlns:a16="http://schemas.microsoft.com/office/drawing/2014/main" id="{1D099E87-8406-40E7-88AC-D15359A0BFE7}"/>
            </a:ext>
          </a:extLst>
        </xdr:cNvPr>
        <xdr:cNvSpPr txBox="1"/>
      </xdr:nvSpPr>
      <xdr:spPr>
        <a:xfrm>
          <a:off x="14570" y="1"/>
          <a:ext cx="9338980" cy="711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GB" sz="1800" b="1">
              <a:solidFill>
                <a:srgbClr val="0070C0"/>
              </a:solidFill>
            </a:rPr>
            <a:t>Equinix</a:t>
          </a:r>
        </a:p>
        <a:p>
          <a:pPr algn="ctr"/>
          <a:r>
            <a:rPr lang="en-GB" sz="1600" b="0">
              <a:solidFill>
                <a:srgbClr val="0070C0"/>
              </a:solidFill>
            </a:rPr>
            <a:t>Data Centre Migration Runbook</a:t>
          </a:r>
          <a:r>
            <a:rPr lang="en-GB" sz="1600" b="0" baseline="0">
              <a:solidFill>
                <a:srgbClr val="0070C0"/>
              </a:solidFill>
            </a:rPr>
            <a:t> </a:t>
          </a:r>
          <a:endParaRPr lang="en-GB" sz="1600" b="0">
            <a:solidFill>
              <a:srgbClr val="0070C0"/>
            </a:solidFill>
          </a:endParaRPr>
        </a:p>
      </xdr:txBody>
    </xdr:sp>
    <xdr:clientData/>
  </xdr:twoCellAnchor>
  <xdr:twoCellAnchor>
    <xdr:from>
      <xdr:col>3</xdr:col>
      <xdr:colOff>4889500</xdr:colOff>
      <xdr:row>4</xdr:row>
      <xdr:rowOff>328780</xdr:rowOff>
    </xdr:from>
    <xdr:to>
      <xdr:col>3</xdr:col>
      <xdr:colOff>6617500</xdr:colOff>
      <xdr:row>5</xdr:row>
      <xdr:rowOff>234505</xdr:rowOff>
    </xdr:to>
    <xdr:sp macro="" textlink="">
      <xdr:nvSpPr>
        <xdr:cNvPr id="3" name="Bevel 37">
          <a:hlinkClick xmlns:r="http://schemas.openxmlformats.org/officeDocument/2006/relationships" r:id="rId1"/>
          <a:extLst>
            <a:ext uri="{FF2B5EF4-FFF2-40B4-BE49-F238E27FC236}">
              <a16:creationId xmlns:a16="http://schemas.microsoft.com/office/drawing/2014/main" id="{BC88ECF2-A043-41D9-BB4D-E7BF29734D8C}"/>
            </a:ext>
          </a:extLst>
        </xdr:cNvPr>
        <xdr:cNvSpPr/>
      </xdr:nvSpPr>
      <xdr:spPr>
        <a:xfrm>
          <a:off x="7226300" y="1833730"/>
          <a:ext cx="1728000" cy="274025"/>
        </a:xfrm>
        <a:prstGeom prst="bevel">
          <a:avLst/>
        </a:prstGeom>
      </xdr:spPr>
      <xdr:style>
        <a:lnRef idx="1">
          <a:schemeClr val="accent6"/>
        </a:lnRef>
        <a:fillRef idx="3">
          <a:schemeClr val="accent6"/>
        </a:fillRef>
        <a:effectRef idx="2">
          <a:schemeClr val="accent6"/>
        </a:effectRef>
        <a:fontRef idx="minor">
          <a:schemeClr val="lt1"/>
        </a:fontRef>
      </xdr:style>
      <xdr:txBody>
        <a:bodyPr vertOverflow="clip" rtlCol="0" anchor="ctr"/>
        <a:lstStyle/>
        <a:p>
          <a:pPr marL="0" indent="0" algn="ctr"/>
          <a:r>
            <a:rPr lang="en-GB" sz="1000" b="0">
              <a:solidFill>
                <a:schemeClr val="dk1"/>
              </a:solidFill>
              <a:latin typeface="+mn-lt"/>
              <a:ea typeface="+mn-ea"/>
              <a:cs typeface="+mn-cs"/>
            </a:rPr>
            <a:t>Glossary</a:t>
          </a:r>
        </a:p>
      </xdr:txBody>
    </xdr:sp>
    <xdr:clientData/>
  </xdr:twoCellAnchor>
  <xdr:twoCellAnchor>
    <xdr:from>
      <xdr:col>0</xdr:col>
      <xdr:colOff>190500</xdr:colOff>
      <xdr:row>3</xdr:row>
      <xdr:rowOff>273932</xdr:rowOff>
    </xdr:from>
    <xdr:to>
      <xdr:col>2</xdr:col>
      <xdr:colOff>472110</xdr:colOff>
      <xdr:row>4</xdr:row>
      <xdr:rowOff>158021</xdr:rowOff>
    </xdr:to>
    <xdr:sp macro="" textlink="">
      <xdr:nvSpPr>
        <xdr:cNvPr id="4" name="Bevel 42">
          <a:hlinkClick xmlns:r="http://schemas.openxmlformats.org/officeDocument/2006/relationships" r:id="rId2"/>
          <a:extLst>
            <a:ext uri="{FF2B5EF4-FFF2-40B4-BE49-F238E27FC236}">
              <a16:creationId xmlns:a16="http://schemas.microsoft.com/office/drawing/2014/main" id="{993DA2DC-B521-4BD0-B3B9-27F793ED0A94}"/>
            </a:ext>
          </a:extLst>
        </xdr:cNvPr>
        <xdr:cNvSpPr/>
      </xdr:nvSpPr>
      <xdr:spPr>
        <a:xfrm>
          <a:off x="190500" y="1410582"/>
          <a:ext cx="1818310" cy="252389"/>
        </a:xfrm>
        <a:prstGeom prst="bevel">
          <a:avLst/>
        </a:prstGeom>
        <a:solidFill>
          <a:srgbClr val="C00000"/>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marL="0" indent="0" algn="ctr"/>
          <a:r>
            <a:rPr lang="en-GB" sz="1000" b="0">
              <a:solidFill>
                <a:schemeClr val="bg1"/>
              </a:solidFill>
              <a:latin typeface="+mn-lt"/>
              <a:ea typeface="+mn-ea"/>
              <a:cs typeface="+mn-cs"/>
            </a:rPr>
            <a:t>Approval</a:t>
          </a:r>
        </a:p>
      </xdr:txBody>
    </xdr:sp>
    <xdr:clientData/>
  </xdr:twoCellAnchor>
  <xdr:twoCellAnchor>
    <xdr:from>
      <xdr:col>3</xdr:col>
      <xdr:colOff>4889500</xdr:colOff>
      <xdr:row>3</xdr:row>
      <xdr:rowOff>249375</xdr:rowOff>
    </xdr:from>
    <xdr:to>
      <xdr:col>3</xdr:col>
      <xdr:colOff>6617500</xdr:colOff>
      <xdr:row>4</xdr:row>
      <xdr:rowOff>155100</xdr:rowOff>
    </xdr:to>
    <xdr:sp macro="" textlink="">
      <xdr:nvSpPr>
        <xdr:cNvPr id="5" name="Bevel 56">
          <a:hlinkClick xmlns:r="http://schemas.openxmlformats.org/officeDocument/2006/relationships" r:id="rId3"/>
          <a:extLst>
            <a:ext uri="{FF2B5EF4-FFF2-40B4-BE49-F238E27FC236}">
              <a16:creationId xmlns:a16="http://schemas.microsoft.com/office/drawing/2014/main" id="{C4E32FD3-B28E-4AB6-A6E5-9204DB200B59}"/>
            </a:ext>
          </a:extLst>
        </xdr:cNvPr>
        <xdr:cNvSpPr/>
      </xdr:nvSpPr>
      <xdr:spPr>
        <a:xfrm>
          <a:off x="7226300" y="1386025"/>
          <a:ext cx="1728000" cy="274025"/>
        </a:xfrm>
        <a:prstGeom prst="bevel">
          <a:avLst/>
        </a:prstGeom>
      </xdr:spPr>
      <xdr:style>
        <a:lnRef idx="1">
          <a:schemeClr val="accent6"/>
        </a:lnRef>
        <a:fillRef idx="3">
          <a:schemeClr val="accent6"/>
        </a:fillRef>
        <a:effectRef idx="2">
          <a:schemeClr val="accent6"/>
        </a:effectRef>
        <a:fontRef idx="minor">
          <a:schemeClr val="lt1"/>
        </a:fontRef>
      </xdr:style>
      <xdr:txBody>
        <a:bodyPr vertOverflow="clip" rtlCol="0" anchor="ctr"/>
        <a:lstStyle/>
        <a:p>
          <a:pPr marL="0" indent="0" algn="ctr"/>
          <a:r>
            <a:rPr lang="en-GB" sz="1000" b="0">
              <a:solidFill>
                <a:schemeClr val="dk1"/>
              </a:solidFill>
              <a:latin typeface="+mn-lt"/>
              <a:ea typeface="+mn-ea"/>
              <a:cs typeface="+mn-cs"/>
            </a:rPr>
            <a:t>Contacts</a:t>
          </a:r>
        </a:p>
      </xdr:txBody>
    </xdr:sp>
    <xdr:clientData/>
  </xdr:twoCellAnchor>
  <xdr:twoCellAnchor>
    <xdr:from>
      <xdr:col>3</xdr:col>
      <xdr:colOff>232832</xdr:colOff>
      <xdr:row>3</xdr:row>
      <xdr:rowOff>261407</xdr:rowOff>
    </xdr:from>
    <xdr:to>
      <xdr:col>3</xdr:col>
      <xdr:colOff>4420126</xdr:colOff>
      <xdr:row>4</xdr:row>
      <xdr:rowOff>222729</xdr:rowOff>
    </xdr:to>
    <xdr:sp macro="" textlink="">
      <xdr:nvSpPr>
        <xdr:cNvPr id="7" name="Bevel 11">
          <a:hlinkClick xmlns:r="http://schemas.openxmlformats.org/officeDocument/2006/relationships" r:id="rId4"/>
          <a:extLst>
            <a:ext uri="{FF2B5EF4-FFF2-40B4-BE49-F238E27FC236}">
              <a16:creationId xmlns:a16="http://schemas.microsoft.com/office/drawing/2014/main" id="{78A0CE6E-CEB3-4B0D-A127-37F472EB4951}"/>
            </a:ext>
          </a:extLst>
        </xdr:cNvPr>
        <xdr:cNvSpPr/>
      </xdr:nvSpPr>
      <xdr:spPr>
        <a:xfrm>
          <a:off x="2569632" y="1398057"/>
          <a:ext cx="4187294" cy="329622"/>
        </a:xfrm>
        <a:prstGeom prst="bevel">
          <a:avLst/>
        </a:prstGeom>
        <a:solidFill>
          <a:srgbClr val="00B0F0"/>
        </a:solidFill>
      </xdr:spPr>
      <xdr:style>
        <a:lnRef idx="1">
          <a:schemeClr val="accent3"/>
        </a:lnRef>
        <a:fillRef idx="3">
          <a:schemeClr val="accent3"/>
        </a:fillRef>
        <a:effectRef idx="2">
          <a:schemeClr val="accent3"/>
        </a:effectRef>
        <a:fontRef idx="minor">
          <a:schemeClr val="lt1"/>
        </a:fontRef>
      </xdr:style>
      <xdr:txBody>
        <a:bodyPr vertOverflow="clip" rtlCol="0" anchor="ctr"/>
        <a:lstStyle/>
        <a:p>
          <a:pPr marL="0" indent="0" algn="ctr"/>
          <a:r>
            <a:rPr lang="en-GB" sz="1100" b="0">
              <a:solidFill>
                <a:schemeClr val="lt1"/>
              </a:solidFill>
              <a:effectLst/>
              <a:latin typeface="+mn-lt"/>
              <a:ea typeface="+mn-ea"/>
              <a:cs typeface="+mn-cs"/>
            </a:rPr>
            <a:t>CI In-scope</a:t>
          </a:r>
          <a:endParaRPr lang="en-GB" sz="1000" b="0">
            <a:solidFill>
              <a:schemeClr val="bg1"/>
            </a:solidFill>
            <a:latin typeface="+mn-lt"/>
            <a:ea typeface="+mn-ea"/>
            <a:cs typeface="+mn-cs"/>
          </a:endParaRPr>
        </a:p>
      </xdr:txBody>
    </xdr:sp>
    <xdr:clientData/>
  </xdr:twoCellAnchor>
  <xdr:twoCellAnchor>
    <xdr:from>
      <xdr:col>3</xdr:col>
      <xdr:colOff>233891</xdr:colOff>
      <xdr:row>6</xdr:row>
      <xdr:rowOff>304808</xdr:rowOff>
    </xdr:from>
    <xdr:to>
      <xdr:col>3</xdr:col>
      <xdr:colOff>4421185</xdr:colOff>
      <xdr:row>7</xdr:row>
      <xdr:rowOff>266130</xdr:rowOff>
    </xdr:to>
    <xdr:sp macro="" textlink="">
      <xdr:nvSpPr>
        <xdr:cNvPr id="50" name="Bevel 14">
          <a:hlinkClick xmlns:r="http://schemas.openxmlformats.org/officeDocument/2006/relationships" r:id="rId5"/>
          <a:extLst>
            <a:ext uri="{FF2B5EF4-FFF2-40B4-BE49-F238E27FC236}">
              <a16:creationId xmlns:a16="http://schemas.microsoft.com/office/drawing/2014/main" id="{7B473E86-6999-474B-8D5C-660520C98B14}"/>
            </a:ext>
            <a:ext uri="{147F2762-F138-4A5C-976F-8EAC2B608ADB}">
              <a16:predDERef xmlns:a16="http://schemas.microsoft.com/office/drawing/2014/main" pred="{8FD05F69-6E18-4323-83B3-FFC5F8CED60C}"/>
            </a:ext>
          </a:extLst>
        </xdr:cNvPr>
        <xdr:cNvSpPr/>
      </xdr:nvSpPr>
      <xdr:spPr>
        <a:xfrm>
          <a:off x="2570691" y="2546358"/>
          <a:ext cx="4187294" cy="329622"/>
        </a:xfrm>
        <a:prstGeom prst="bevel">
          <a:avLst/>
        </a:prstGeom>
        <a:solidFill>
          <a:srgbClr val="00B0F0"/>
        </a:solidFill>
      </xdr:spPr>
      <xdr:style>
        <a:lnRef idx="1">
          <a:schemeClr val="accent3"/>
        </a:lnRef>
        <a:fillRef idx="3">
          <a:schemeClr val="accent3"/>
        </a:fillRef>
        <a:effectRef idx="2">
          <a:schemeClr val="accent3"/>
        </a:effectRef>
        <a:fontRef idx="minor">
          <a:schemeClr val="lt1"/>
        </a:fontRef>
      </xdr:style>
      <xdr:txBody>
        <a:bodyPr vertOverflow="clip" rtlCol="0" anchor="ctr"/>
        <a:lstStyle/>
        <a:p>
          <a:pPr marL="0" indent="0" algn="ctr"/>
          <a:r>
            <a:rPr lang="en-GB" sz="1100" b="0">
              <a:solidFill>
                <a:schemeClr val="lt1"/>
              </a:solidFill>
              <a:effectLst/>
              <a:latin typeface="+mn-lt"/>
              <a:ea typeface="+mn-ea"/>
              <a:cs typeface="+mn-cs"/>
            </a:rPr>
            <a:t>Migration-AWS</a:t>
          </a:r>
          <a:endParaRPr lang="en-GB" sz="1000" b="0">
            <a:solidFill>
              <a:schemeClr val="bg1"/>
            </a:solidFill>
            <a:latin typeface="+mn-lt"/>
            <a:ea typeface="+mn-ea"/>
            <a:cs typeface="+mn-cs"/>
          </a:endParaRPr>
        </a:p>
      </xdr:txBody>
    </xdr:sp>
    <xdr:clientData/>
  </xdr:twoCellAnchor>
  <xdr:twoCellAnchor>
    <xdr:from>
      <xdr:col>3</xdr:col>
      <xdr:colOff>251882</xdr:colOff>
      <xdr:row>8</xdr:row>
      <xdr:rowOff>157686</xdr:rowOff>
    </xdr:from>
    <xdr:to>
      <xdr:col>3</xdr:col>
      <xdr:colOff>4439176</xdr:colOff>
      <xdr:row>9</xdr:row>
      <xdr:rowOff>124301</xdr:rowOff>
    </xdr:to>
    <xdr:sp macro="" textlink="">
      <xdr:nvSpPr>
        <xdr:cNvPr id="51" name="Bevel 14">
          <a:hlinkClick xmlns:r="http://schemas.openxmlformats.org/officeDocument/2006/relationships" r:id="rId6"/>
          <a:extLst>
            <a:ext uri="{FF2B5EF4-FFF2-40B4-BE49-F238E27FC236}">
              <a16:creationId xmlns:a16="http://schemas.microsoft.com/office/drawing/2014/main" id="{724480DE-5ECC-4115-A3DB-FE2DA2A79B27}"/>
            </a:ext>
            <a:ext uri="{147F2762-F138-4A5C-976F-8EAC2B608ADB}">
              <a16:predDERef xmlns:a16="http://schemas.microsoft.com/office/drawing/2014/main" pred="{D1C7C430-50C4-47A4-8910-7D79D846FB79}"/>
            </a:ext>
          </a:extLst>
        </xdr:cNvPr>
        <xdr:cNvSpPr/>
      </xdr:nvSpPr>
      <xdr:spPr>
        <a:xfrm>
          <a:off x="2588682" y="3135836"/>
          <a:ext cx="4187294" cy="334915"/>
        </a:xfrm>
        <a:prstGeom prst="bevel">
          <a:avLst/>
        </a:prstGeom>
        <a:solidFill>
          <a:srgbClr val="00B0F0"/>
        </a:solidFill>
      </xdr:spPr>
      <xdr:style>
        <a:lnRef idx="1">
          <a:schemeClr val="accent3"/>
        </a:lnRef>
        <a:fillRef idx="3">
          <a:schemeClr val="accent3"/>
        </a:fillRef>
        <a:effectRef idx="2">
          <a:schemeClr val="accent3"/>
        </a:effectRef>
        <a:fontRef idx="minor">
          <a:schemeClr val="lt1"/>
        </a:fontRef>
      </xdr:style>
      <xdr:txBody>
        <a:bodyPr vertOverflow="clip" rtlCol="0" anchor="ctr"/>
        <a:lstStyle/>
        <a:p>
          <a:pPr marL="0" indent="0" algn="ctr"/>
          <a:r>
            <a:rPr lang="en-US" sz="1100" b="0">
              <a:solidFill>
                <a:schemeClr val="lt1"/>
              </a:solidFill>
              <a:latin typeface="+mn-lt"/>
              <a:ea typeface="+mn-lt"/>
              <a:cs typeface="+mn-lt"/>
            </a:rPr>
            <a:t>Post-Migration-AWS</a:t>
          </a:r>
        </a:p>
      </xdr:txBody>
    </xdr:sp>
    <xdr:clientData/>
  </xdr:twoCellAnchor>
  <xdr:twoCellAnchor>
    <xdr:from>
      <xdr:col>3</xdr:col>
      <xdr:colOff>217803</xdr:colOff>
      <xdr:row>10</xdr:row>
      <xdr:rowOff>76195</xdr:rowOff>
    </xdr:from>
    <xdr:to>
      <xdr:col>3</xdr:col>
      <xdr:colOff>4405097</xdr:colOff>
      <xdr:row>11</xdr:row>
      <xdr:rowOff>41750</xdr:rowOff>
    </xdr:to>
    <xdr:sp macro="" textlink="">
      <xdr:nvSpPr>
        <xdr:cNvPr id="10" name="Bevel 14">
          <a:hlinkClick xmlns:r="http://schemas.openxmlformats.org/officeDocument/2006/relationships" r:id="rId7"/>
          <a:extLst>
            <a:ext uri="{FF2B5EF4-FFF2-40B4-BE49-F238E27FC236}">
              <a16:creationId xmlns:a16="http://schemas.microsoft.com/office/drawing/2014/main" id="{94EF513D-DF96-4504-9652-35E8D69E18E7}"/>
            </a:ext>
            <a:ext uri="{147F2762-F138-4A5C-976F-8EAC2B608ADB}">
              <a16:predDERef xmlns:a16="http://schemas.microsoft.com/office/drawing/2014/main" pred="{5A65C2DB-D629-41E6-8ED5-8EDFDFD64473}"/>
            </a:ext>
          </a:extLst>
        </xdr:cNvPr>
        <xdr:cNvSpPr/>
      </xdr:nvSpPr>
      <xdr:spPr>
        <a:xfrm>
          <a:off x="2554603" y="3746495"/>
          <a:ext cx="4187294" cy="333855"/>
        </a:xfrm>
        <a:prstGeom prst="bevel">
          <a:avLst/>
        </a:prstGeom>
        <a:solidFill>
          <a:srgbClr val="00B0F0"/>
        </a:solidFill>
      </xdr:spPr>
      <xdr:style>
        <a:lnRef idx="1">
          <a:schemeClr val="accent3"/>
        </a:lnRef>
        <a:fillRef idx="3">
          <a:schemeClr val="accent3"/>
        </a:fillRef>
        <a:effectRef idx="2">
          <a:schemeClr val="accent3"/>
        </a:effectRef>
        <a:fontRef idx="minor">
          <a:schemeClr val="lt1"/>
        </a:fontRef>
      </xdr:style>
      <xdr:txBody>
        <a:bodyPr vertOverflow="clip" rtlCol="0" anchor="ctr"/>
        <a:lstStyle/>
        <a:p>
          <a:pPr marL="0" indent="0" algn="ctr"/>
          <a:r>
            <a:rPr lang="en-GB" sz="1100" b="0">
              <a:solidFill>
                <a:schemeClr val="lt1"/>
              </a:solidFill>
              <a:effectLst/>
              <a:latin typeface="+mn-lt"/>
              <a:ea typeface="+mn-ea"/>
              <a:cs typeface="+mn-cs"/>
            </a:rPr>
            <a:t>Rollback Plan</a:t>
          </a:r>
          <a:endParaRPr lang="en-GB" sz="1000" b="0">
            <a:solidFill>
              <a:schemeClr val="bg1"/>
            </a:solidFill>
            <a:latin typeface="+mn-lt"/>
            <a:ea typeface="+mn-ea"/>
            <a:cs typeface="+mn-cs"/>
          </a:endParaRPr>
        </a:p>
      </xdr:txBody>
    </xdr:sp>
    <xdr:clientData/>
  </xdr:twoCellAnchor>
  <xdr:twoCellAnchor>
    <xdr:from>
      <xdr:col>3</xdr:col>
      <xdr:colOff>228176</xdr:colOff>
      <xdr:row>12</xdr:row>
      <xdr:rowOff>21162</xdr:rowOff>
    </xdr:from>
    <xdr:to>
      <xdr:col>3</xdr:col>
      <xdr:colOff>4415470</xdr:colOff>
      <xdr:row>12</xdr:row>
      <xdr:rowOff>351843</xdr:rowOff>
    </xdr:to>
    <xdr:sp macro="" textlink="">
      <xdr:nvSpPr>
        <xdr:cNvPr id="11" name="Bevel 14">
          <a:hlinkClick xmlns:r="http://schemas.openxmlformats.org/officeDocument/2006/relationships" r:id="rId8"/>
          <a:extLst>
            <a:ext uri="{FF2B5EF4-FFF2-40B4-BE49-F238E27FC236}">
              <a16:creationId xmlns:a16="http://schemas.microsoft.com/office/drawing/2014/main" id="{1A7AEAF8-C8A5-4B89-BA84-035933EBB92C}"/>
            </a:ext>
            <a:ext uri="{147F2762-F138-4A5C-976F-8EAC2B608ADB}">
              <a16:predDERef xmlns:a16="http://schemas.microsoft.com/office/drawing/2014/main" pred="{F5BE36F0-A56A-4CD5-84DF-EAF2410B73B8}"/>
            </a:ext>
          </a:extLst>
        </xdr:cNvPr>
        <xdr:cNvSpPr/>
      </xdr:nvSpPr>
      <xdr:spPr>
        <a:xfrm>
          <a:off x="2564976" y="4313762"/>
          <a:ext cx="4187294" cy="330681"/>
        </a:xfrm>
        <a:prstGeom prst="bevel">
          <a:avLst/>
        </a:prstGeom>
        <a:solidFill>
          <a:srgbClr val="00B0F0"/>
        </a:solidFill>
      </xdr:spPr>
      <xdr:style>
        <a:lnRef idx="1">
          <a:schemeClr val="accent3"/>
        </a:lnRef>
        <a:fillRef idx="3">
          <a:schemeClr val="accent3"/>
        </a:fillRef>
        <a:effectRef idx="2">
          <a:schemeClr val="accent3"/>
        </a:effectRef>
        <a:fontRef idx="minor">
          <a:schemeClr val="lt1"/>
        </a:fontRef>
      </xdr:style>
      <xdr:txBody>
        <a:bodyPr vertOverflow="clip" rtlCol="0" anchor="ctr"/>
        <a:lstStyle/>
        <a:p>
          <a:pPr marL="0" indent="0" algn="ctr"/>
          <a:r>
            <a:rPr lang="en-GB" sz="1100" b="0">
              <a:solidFill>
                <a:schemeClr val="lt1"/>
              </a:solidFill>
              <a:effectLst/>
              <a:latin typeface="+mn-lt"/>
              <a:ea typeface="+mn-ea"/>
              <a:cs typeface="+mn-cs"/>
            </a:rPr>
            <a:t>RACI</a:t>
          </a:r>
          <a:endParaRPr lang="en-GB" sz="1000" b="0">
            <a:solidFill>
              <a:schemeClr val="bg1"/>
            </a:solidFill>
            <a:latin typeface="+mn-lt"/>
            <a:ea typeface="+mn-ea"/>
            <a:cs typeface="+mn-cs"/>
          </a:endParaRPr>
        </a:p>
      </xdr:txBody>
    </xdr:sp>
    <xdr:clientData/>
  </xdr:twoCellAnchor>
  <xdr:twoCellAnchor>
    <xdr:from>
      <xdr:col>3</xdr:col>
      <xdr:colOff>226059</xdr:colOff>
      <xdr:row>5</xdr:row>
      <xdr:rowOff>20115</xdr:rowOff>
    </xdr:from>
    <xdr:to>
      <xdr:col>3</xdr:col>
      <xdr:colOff>4413353</xdr:colOff>
      <xdr:row>5</xdr:row>
      <xdr:rowOff>345504</xdr:rowOff>
    </xdr:to>
    <xdr:sp macro="" textlink="">
      <xdr:nvSpPr>
        <xdr:cNvPr id="49" name="Bevel 11">
          <a:hlinkClick xmlns:r="http://schemas.openxmlformats.org/officeDocument/2006/relationships" r:id="rId9"/>
          <a:extLst>
            <a:ext uri="{FF2B5EF4-FFF2-40B4-BE49-F238E27FC236}">
              <a16:creationId xmlns:a16="http://schemas.microsoft.com/office/drawing/2014/main" id="{003DF989-6D13-41BC-9166-054A9CCA0CC5}"/>
            </a:ext>
          </a:extLst>
        </xdr:cNvPr>
        <xdr:cNvSpPr/>
      </xdr:nvSpPr>
      <xdr:spPr>
        <a:xfrm>
          <a:off x="2562859" y="1893365"/>
          <a:ext cx="4187294" cy="325389"/>
        </a:xfrm>
        <a:prstGeom prst="bevel">
          <a:avLst/>
        </a:prstGeom>
        <a:solidFill>
          <a:srgbClr val="00B0F0"/>
        </a:solidFill>
      </xdr:spPr>
      <xdr:style>
        <a:lnRef idx="1">
          <a:schemeClr val="accent3"/>
        </a:lnRef>
        <a:fillRef idx="3">
          <a:schemeClr val="accent3"/>
        </a:fillRef>
        <a:effectRef idx="2">
          <a:schemeClr val="accent3"/>
        </a:effectRef>
        <a:fontRef idx="minor">
          <a:schemeClr val="lt1"/>
        </a:fontRef>
      </xdr:style>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100" b="0">
              <a:solidFill>
                <a:schemeClr val="lt1"/>
              </a:solidFill>
              <a:effectLst/>
              <a:latin typeface="+mn-lt"/>
              <a:ea typeface="+mn-ea"/>
              <a:cs typeface="+mn-cs"/>
            </a:rPr>
            <a:t>Pre Migration - AWS</a:t>
          </a:r>
          <a:endParaRPr lang="en-GB">
            <a:effectLst/>
          </a:endParaRPr>
        </a:p>
      </xdr:txBody>
    </xdr:sp>
    <xdr:clientData/>
  </xdr:twoCellAnchor>
  <xdr:twoCellAnchor>
    <xdr:from>
      <xdr:col>3</xdr:col>
      <xdr:colOff>210610</xdr:colOff>
      <xdr:row>13</xdr:row>
      <xdr:rowOff>191573</xdr:rowOff>
    </xdr:from>
    <xdr:to>
      <xdr:col>3</xdr:col>
      <xdr:colOff>4397904</xdr:colOff>
      <xdr:row>15</xdr:row>
      <xdr:rowOff>16947</xdr:rowOff>
    </xdr:to>
    <xdr:sp macro="" textlink="">
      <xdr:nvSpPr>
        <xdr:cNvPr id="14" name="Bevel 14">
          <a:hlinkClick xmlns:r="http://schemas.openxmlformats.org/officeDocument/2006/relationships" r:id="rId10"/>
          <a:extLst>
            <a:ext uri="{FF2B5EF4-FFF2-40B4-BE49-F238E27FC236}">
              <a16:creationId xmlns:a16="http://schemas.microsoft.com/office/drawing/2014/main" id="{5DACFD65-6C1F-47A3-B980-CFDE8B6F4E16}"/>
            </a:ext>
            <a:ext uri="{147F2762-F138-4A5C-976F-8EAC2B608ADB}">
              <a16:predDERef xmlns:a16="http://schemas.microsoft.com/office/drawing/2014/main" pred="{0AA87BB8-8B13-4B53-974B-797A8FE9A17A}"/>
            </a:ext>
          </a:extLst>
        </xdr:cNvPr>
        <xdr:cNvSpPr/>
      </xdr:nvSpPr>
      <xdr:spPr>
        <a:xfrm>
          <a:off x="2547410" y="4852473"/>
          <a:ext cx="4187294" cy="327024"/>
        </a:xfrm>
        <a:prstGeom prst="bevel">
          <a:avLst/>
        </a:prstGeom>
        <a:solidFill>
          <a:srgbClr val="00B0F0"/>
        </a:solidFill>
      </xdr:spPr>
      <xdr:style>
        <a:lnRef idx="1">
          <a:schemeClr val="accent3"/>
        </a:lnRef>
        <a:fillRef idx="3">
          <a:schemeClr val="accent3"/>
        </a:fillRef>
        <a:effectRef idx="2">
          <a:schemeClr val="accent3"/>
        </a:effectRef>
        <a:fontRef idx="minor">
          <a:schemeClr val="lt1"/>
        </a:fontRef>
      </xdr:style>
      <xdr:txBody>
        <a:bodyPr vertOverflow="clip" rtlCol="0" anchor="ctr"/>
        <a:lstStyle/>
        <a:p>
          <a:pPr marL="0" indent="0" algn="ctr"/>
          <a:r>
            <a:rPr lang="en-GB" sz="1100" b="0">
              <a:solidFill>
                <a:schemeClr val="lt1"/>
              </a:solidFill>
              <a:effectLst/>
              <a:latin typeface="+mn-lt"/>
              <a:ea typeface="+mn-ea"/>
              <a:cs typeface="+mn-cs"/>
            </a:rPr>
            <a:t>Infra Firewall Change</a:t>
          </a:r>
          <a:endParaRPr lang="en-GB" sz="1000" b="0">
            <a:solidFill>
              <a:schemeClr val="bg1"/>
            </a:solidFill>
            <a:latin typeface="+mn-lt"/>
            <a:ea typeface="+mn-ea"/>
            <a:cs typeface="+mn-cs"/>
          </a:endParaRPr>
        </a:p>
      </xdr:txBody>
    </xdr:sp>
    <xdr:clientData/>
  </xdr:twoCellAnchor>
  <xdr:twoCellAnchor>
    <xdr:from>
      <xdr:col>0</xdr:col>
      <xdr:colOff>2628</xdr:colOff>
      <xdr:row>1048575</xdr:row>
      <xdr:rowOff>567231</xdr:rowOff>
    </xdr:from>
    <xdr:to>
      <xdr:col>3</xdr:col>
      <xdr:colOff>6889531</xdr:colOff>
      <xdr:row>1048575</xdr:row>
      <xdr:rowOff>736600</xdr:rowOff>
    </xdr:to>
    <xdr:sp macro="" textlink="">
      <xdr:nvSpPr>
        <xdr:cNvPr id="15" name="Rectangle 14">
          <a:extLst>
            <a:ext uri="{FF2B5EF4-FFF2-40B4-BE49-F238E27FC236}">
              <a16:creationId xmlns:a16="http://schemas.microsoft.com/office/drawing/2014/main" id="{48C06CFC-CB80-4A09-BA1C-B087B7E60337}"/>
            </a:ext>
          </a:extLst>
        </xdr:cNvPr>
        <xdr:cNvSpPr/>
      </xdr:nvSpPr>
      <xdr:spPr>
        <a:xfrm>
          <a:off x="2628" y="7215681"/>
          <a:ext cx="9223703" cy="16936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ipro365-my.sharepoint.com/Users/VI274951/Desktop/UK%20Migration/Move%20groups/MG%20runbooks/MG_ARCE_BATCH_OPS_PROD_MPC_Rehost_RunBoo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ipro365-my.sharepoint.com/Users/HA252504/Desktop/ExaCC/L3%20Runbooks/MG_HERMES_APP_SERVER_PROD_MPC_Rehost_RunBook_Wipro_v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ipro365.sharepoint.com/Users/ja20135769/AppData/Local/Microsoft/Windows/INetCache/Content.Outlook/WHCHA1BO/EON%20L3%20Azure-Migration%20RunBook-Template-v0.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kaustubh.pande\Downloads\Equinix%20-%20Migration%20RunBook%20-Wave1_App.xlsx" TargetMode="External"/><Relationship Id="rId1" Type="http://schemas.openxmlformats.org/officeDocument/2006/relationships/externalLinkPath" Target="https://trianz365-my.sharepoint.com/personal/sairam_challa_trianz_com/Documents/Desktop/Equinix/ACCELQ/Equinix%20-%20Migration%20RunBook%20-Wave1_Ap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Guidelines"/>
      <sheetName val="System Details"/>
      <sheetName val="System or App Verification"/>
      <sheetName val="Change Info"/>
      <sheetName val="Pre-Implementation"/>
      <sheetName val="Implementation"/>
      <sheetName val="MASTER_INFRA"/>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System Overview"/>
      <sheetName val="System Details"/>
      <sheetName val="Pre Migration Task List"/>
      <sheetName val="Migration Task List"/>
      <sheetName val="Post Migration Task List"/>
      <sheetName val="Rollback Plan"/>
      <sheetName val="LZ Details"/>
      <sheetName val="System or App Verification"/>
      <sheetName val="MASTER_INFRA"/>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ToC"/>
      <sheetName val="Move Event Summary"/>
      <sheetName val="Approvals"/>
      <sheetName val="CI In-scope"/>
      <sheetName val="Pre-Migration-Azure"/>
      <sheetName val="Pre-Migration-MPC"/>
      <sheetName val="Migration-Azure"/>
      <sheetName val="Migration-MPC"/>
      <sheetName val="Post-Migration-MPC_Azure"/>
      <sheetName val="Rollback Plan"/>
      <sheetName val="RACI"/>
      <sheetName val="LZ Details"/>
      <sheetName val="Contact List"/>
      <sheetName val="Glossary"/>
      <sheetName val="MASTER_INF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
      <sheetName val="ToC"/>
      <sheetName val="CI In-scope"/>
      <sheetName val=" Milestone Summary"/>
      <sheetName val="Change Approvals"/>
      <sheetName val="Pre-Migration-MPC"/>
      <sheetName val="Blockers"/>
      <sheetName val="Pre-Migration-AWS- MSCOR"/>
      <sheetName val="Pre-Migration-AWS- Cribl AMP"/>
      <sheetName val="Pre-Migration-AWS- GOE Tools"/>
      <sheetName val="Migration-AWS -MSCOR"/>
      <sheetName val="Migration-AWS -Cribl AMP"/>
      <sheetName val="Migration-AWS -GOE Tools"/>
      <sheetName val="Migration-MPC"/>
      <sheetName val="Post-Migration-AWS -MSCOR"/>
      <sheetName val="Post-Migration-AWS -UAT"/>
      <sheetName val="Rollback Plan"/>
      <sheetName val="RACI"/>
      <sheetName val="LZ Details"/>
      <sheetName val="End-End-Tracker "/>
      <sheetName val="Infra-Firewall-Change"/>
      <sheetName val="Contact List"/>
      <sheetName val="Feedback tracker"/>
      <sheetName val="Glossary"/>
      <sheetName val="MASTER_INF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63"/>
    <pageSetUpPr autoPageBreaks="0"/>
  </sheetPr>
  <dimension ref="A1:N37"/>
  <sheetViews>
    <sheetView showGridLines="0" tabSelected="1" showRuler="0" topLeftCell="A12" zoomScaleNormal="100" workbookViewId="0">
      <selection activeCell="N23" sqref="N23"/>
    </sheetView>
  </sheetViews>
  <sheetFormatPr defaultColWidth="8.7109375" defaultRowHeight="13.15"/>
  <cols>
    <col min="1" max="1" width="13.42578125" style="66" bestFit="1" customWidth="1"/>
    <col min="2" max="4" width="8.7109375" style="66"/>
    <col min="5" max="5" width="15.42578125" style="66" bestFit="1" customWidth="1"/>
    <col min="6" max="6" width="8.7109375" style="66"/>
    <col min="7" max="7" width="33" style="66" customWidth="1"/>
    <col min="8" max="16384" width="8.7109375" style="66"/>
  </cols>
  <sheetData>
    <row r="1" spans="1:11">
      <c r="A1" s="73" t="s">
        <v>0</v>
      </c>
      <c r="B1" s="73" t="s">
        <v>1</v>
      </c>
      <c r="C1" s="225">
        <v>0.1</v>
      </c>
      <c r="D1" s="226">
        <v>0.1</v>
      </c>
      <c r="E1" s="227">
        <v>41852.618055555555</v>
      </c>
      <c r="F1" s="226"/>
      <c r="G1" s="228"/>
      <c r="H1" s="228"/>
      <c r="I1" s="228"/>
      <c r="J1" s="228"/>
      <c r="K1" s="229"/>
    </row>
    <row r="2" spans="1:11" hidden="1">
      <c r="A2" s="67"/>
      <c r="B2" s="67"/>
      <c r="C2" s="230"/>
      <c r="D2" s="67"/>
      <c r="E2" s="67"/>
      <c r="F2" s="67"/>
      <c r="G2" s="67"/>
      <c r="H2" s="67"/>
      <c r="I2" s="67"/>
      <c r="J2" s="67"/>
      <c r="K2" s="231"/>
    </row>
    <row r="3" spans="1:11" hidden="1">
      <c r="A3" s="67"/>
      <c r="B3" s="67"/>
      <c r="C3" s="230"/>
      <c r="D3" s="67"/>
      <c r="E3" s="67"/>
      <c r="F3" s="67"/>
      <c r="G3" s="67"/>
      <c r="H3" s="67"/>
      <c r="I3" s="67"/>
      <c r="J3" s="67"/>
      <c r="K3" s="231"/>
    </row>
    <row r="4" spans="1:11" hidden="1">
      <c r="A4" s="67"/>
      <c r="B4" s="67"/>
      <c r="C4" s="230"/>
      <c r="D4" s="67"/>
      <c r="E4" s="67"/>
      <c r="F4" s="67"/>
      <c r="G4" s="67"/>
      <c r="H4" s="67"/>
      <c r="I4" s="67"/>
      <c r="J4" s="67"/>
      <c r="K4" s="231"/>
    </row>
    <row r="5" spans="1:11" hidden="1">
      <c r="A5" s="67"/>
      <c r="B5" s="67"/>
      <c r="C5" s="230"/>
      <c r="D5" s="67"/>
      <c r="E5" s="67"/>
      <c r="F5" s="67"/>
      <c r="G5" s="67"/>
      <c r="H5" s="67"/>
      <c r="I5" s="67"/>
      <c r="J5" s="67"/>
      <c r="K5" s="231"/>
    </row>
    <row r="6" spans="1:11" hidden="1">
      <c r="A6" s="67"/>
      <c r="B6" s="67"/>
      <c r="C6" s="230"/>
      <c r="D6" s="67"/>
      <c r="E6" s="67"/>
      <c r="F6" s="67"/>
      <c r="G6" s="67"/>
      <c r="H6" s="67"/>
      <c r="I6" s="67"/>
      <c r="J6" s="67"/>
      <c r="K6" s="231"/>
    </row>
    <row r="7" spans="1:11" hidden="1">
      <c r="A7" s="67"/>
      <c r="B7" s="67"/>
      <c r="C7" s="230"/>
      <c r="D7" s="67"/>
      <c r="E7" s="67"/>
      <c r="F7" s="67"/>
      <c r="G7" s="67"/>
      <c r="H7" s="67"/>
      <c r="I7" s="67"/>
      <c r="J7" s="67"/>
      <c r="K7" s="231"/>
    </row>
    <row r="8" spans="1:11" hidden="1">
      <c r="A8" s="67"/>
      <c r="B8" s="67"/>
      <c r="C8" s="230"/>
      <c r="D8" s="67"/>
      <c r="E8" s="67"/>
      <c r="F8" s="67"/>
      <c r="G8" s="67"/>
      <c r="H8" s="67"/>
      <c r="I8" s="67"/>
      <c r="J8" s="67"/>
      <c r="K8" s="231"/>
    </row>
    <row r="9" spans="1:11" hidden="1">
      <c r="A9" s="67"/>
      <c r="B9" s="67"/>
      <c r="C9" s="230"/>
      <c r="D9" s="67"/>
      <c r="E9" s="67"/>
      <c r="F9" s="67"/>
      <c r="G9" s="67"/>
      <c r="H9" s="67"/>
      <c r="I9" s="67"/>
      <c r="J9" s="67"/>
      <c r="K9" s="231"/>
    </row>
    <row r="10" spans="1:11" hidden="1">
      <c r="A10" s="67"/>
      <c r="B10" s="67"/>
      <c r="C10" s="230"/>
      <c r="D10" s="67"/>
      <c r="E10" s="67"/>
      <c r="F10" s="67"/>
      <c r="G10" s="67"/>
      <c r="H10" s="67"/>
      <c r="I10" s="67"/>
      <c r="J10" s="67"/>
      <c r="K10" s="231"/>
    </row>
    <row r="11" spans="1:11">
      <c r="A11" s="67"/>
      <c r="B11" s="67"/>
      <c r="C11" s="230"/>
      <c r="D11" s="67"/>
      <c r="E11" s="67"/>
      <c r="F11" s="67"/>
      <c r="G11" s="67"/>
      <c r="H11" s="67"/>
      <c r="I11" s="67"/>
      <c r="J11" s="67"/>
      <c r="K11" s="231"/>
    </row>
    <row r="12" spans="1:11">
      <c r="A12" s="67"/>
      <c r="B12" s="67"/>
      <c r="C12" s="230"/>
      <c r="D12" s="67"/>
      <c r="E12" s="67"/>
      <c r="F12" s="67"/>
      <c r="G12" s="67"/>
      <c r="H12" s="67"/>
      <c r="I12" s="67"/>
      <c r="J12" s="67"/>
      <c r="K12" s="231"/>
    </row>
    <row r="13" spans="1:11">
      <c r="A13" s="67"/>
      <c r="B13" s="67"/>
      <c r="C13" s="230"/>
      <c r="D13" s="67"/>
      <c r="E13" s="67"/>
      <c r="F13" s="67"/>
      <c r="G13" s="67"/>
      <c r="H13" s="67"/>
      <c r="I13" s="67"/>
      <c r="J13" s="67"/>
      <c r="K13" s="231"/>
    </row>
    <row r="14" spans="1:11">
      <c r="A14" s="67"/>
      <c r="B14" s="67"/>
      <c r="C14" s="230"/>
      <c r="D14" s="67"/>
      <c r="E14" s="67"/>
      <c r="F14" s="67"/>
      <c r="G14" s="67"/>
      <c r="H14" s="67"/>
      <c r="I14" s="67"/>
      <c r="J14" s="67"/>
      <c r="K14" s="231"/>
    </row>
    <row r="15" spans="1:11">
      <c r="A15" s="67"/>
      <c r="B15" s="67"/>
      <c r="C15" s="230"/>
      <c r="D15" s="67"/>
      <c r="E15" s="67"/>
      <c r="F15" s="67"/>
      <c r="G15" s="67"/>
      <c r="H15" s="67"/>
      <c r="I15" s="67"/>
      <c r="J15" s="67"/>
      <c r="K15" s="231"/>
    </row>
    <row r="16" spans="1:11">
      <c r="A16" s="67"/>
      <c r="B16" s="67"/>
      <c r="C16" s="230"/>
      <c r="D16" s="67"/>
      <c r="E16" s="67"/>
      <c r="F16" s="67"/>
      <c r="G16" s="67"/>
      <c r="H16" s="67"/>
      <c r="I16" s="67"/>
      <c r="J16" s="67"/>
      <c r="K16" s="231"/>
    </row>
    <row r="17" spans="1:14">
      <c r="A17" s="67"/>
      <c r="B17" s="67"/>
      <c r="C17" s="230"/>
      <c r="D17" s="67"/>
      <c r="E17" s="67"/>
      <c r="F17" s="67"/>
      <c r="G17" s="67"/>
      <c r="H17" s="67"/>
      <c r="I17" s="67"/>
      <c r="J17" s="67"/>
      <c r="K17" s="231"/>
    </row>
    <row r="18" spans="1:14">
      <c r="A18" s="67"/>
      <c r="B18" s="67"/>
      <c r="C18" s="230"/>
      <c r="D18" s="67"/>
      <c r="E18" s="67"/>
      <c r="F18" s="67"/>
      <c r="G18" s="67"/>
      <c r="H18" s="67"/>
      <c r="I18" s="67"/>
      <c r="J18" s="67"/>
      <c r="K18" s="231"/>
      <c r="N18" s="66" t="s">
        <v>2</v>
      </c>
    </row>
    <row r="19" spans="1:14">
      <c r="A19" s="67"/>
      <c r="B19" s="67"/>
      <c r="C19" s="230"/>
      <c r="D19" s="67"/>
      <c r="E19" s="67"/>
      <c r="F19" s="67"/>
      <c r="G19" s="67"/>
      <c r="H19" s="67"/>
      <c r="I19" s="67"/>
      <c r="J19" s="67"/>
      <c r="K19" s="231"/>
    </row>
    <row r="20" spans="1:14">
      <c r="A20" s="67"/>
      <c r="B20" s="67"/>
      <c r="C20" s="230"/>
      <c r="D20" s="67"/>
      <c r="E20" s="67"/>
      <c r="F20" s="67"/>
      <c r="G20" s="67"/>
      <c r="H20" s="67"/>
      <c r="I20" s="67"/>
      <c r="J20" s="67"/>
      <c r="K20" s="231"/>
    </row>
    <row r="21" spans="1:14">
      <c r="A21" s="67"/>
      <c r="B21" s="67"/>
      <c r="C21" s="230"/>
      <c r="D21" s="67"/>
      <c r="E21" s="67"/>
      <c r="F21" s="67"/>
      <c r="G21" s="67"/>
      <c r="H21" s="67"/>
      <c r="I21" s="67"/>
      <c r="J21" s="67"/>
      <c r="K21" s="231"/>
    </row>
    <row r="22" spans="1:14">
      <c r="A22" s="67"/>
      <c r="B22" s="67"/>
      <c r="C22" s="230"/>
      <c r="D22" s="67"/>
      <c r="E22" s="67"/>
      <c r="F22" s="67"/>
      <c r="G22" s="67"/>
      <c r="H22" s="67"/>
      <c r="I22" s="67"/>
      <c r="J22" s="67"/>
      <c r="K22" s="231"/>
    </row>
    <row r="23" spans="1:14">
      <c r="A23" s="67"/>
      <c r="B23" s="67"/>
      <c r="C23" s="230"/>
      <c r="D23" s="67"/>
      <c r="E23" s="67"/>
      <c r="F23" s="67"/>
      <c r="G23" s="67"/>
      <c r="H23" s="67"/>
      <c r="I23" s="67"/>
      <c r="J23" s="67"/>
      <c r="K23" s="231"/>
    </row>
    <row r="24" spans="1:14">
      <c r="A24" s="67"/>
      <c r="B24" s="67"/>
      <c r="C24" s="230"/>
      <c r="D24" s="67"/>
      <c r="E24" s="67"/>
      <c r="F24" s="67"/>
      <c r="G24" s="67"/>
      <c r="H24" s="67"/>
      <c r="I24" s="67"/>
      <c r="J24" s="67"/>
      <c r="K24" s="231"/>
    </row>
    <row r="25" spans="1:14">
      <c r="A25" s="67"/>
      <c r="B25" s="67"/>
      <c r="C25" s="230"/>
      <c r="D25" s="67"/>
      <c r="E25" s="67"/>
      <c r="F25" s="67"/>
      <c r="G25" s="67"/>
      <c r="H25" s="67"/>
      <c r="I25" s="67"/>
      <c r="J25" s="67"/>
      <c r="K25" s="231"/>
    </row>
    <row r="26" spans="1:14">
      <c r="A26" s="67"/>
      <c r="B26" s="67"/>
      <c r="C26" s="230"/>
      <c r="D26" s="67"/>
      <c r="E26" s="67"/>
      <c r="F26" s="67"/>
      <c r="G26" s="67"/>
      <c r="H26" s="67"/>
      <c r="I26" s="67"/>
      <c r="J26" s="67"/>
      <c r="K26" s="231"/>
    </row>
    <row r="27" spans="1:14">
      <c r="A27" s="67"/>
      <c r="B27" s="67"/>
      <c r="C27" s="230"/>
      <c r="D27" s="67"/>
      <c r="E27" s="67"/>
      <c r="F27" s="67"/>
      <c r="G27" s="67"/>
      <c r="H27" s="67"/>
      <c r="I27" s="67"/>
      <c r="J27" s="67"/>
      <c r="K27" s="231"/>
    </row>
    <row r="28" spans="1:14">
      <c r="A28" s="67"/>
      <c r="B28" s="67"/>
      <c r="C28" s="230"/>
      <c r="D28" s="67"/>
      <c r="E28" s="67"/>
      <c r="F28" s="72"/>
      <c r="G28" s="72"/>
      <c r="H28" s="67"/>
      <c r="I28" s="67"/>
      <c r="J28" s="67"/>
      <c r="K28" s="231"/>
    </row>
    <row r="29" spans="1:14">
      <c r="A29" s="67"/>
      <c r="B29" s="67"/>
      <c r="C29" s="230"/>
      <c r="D29" s="67"/>
      <c r="E29" s="402"/>
      <c r="F29" s="402"/>
      <c r="G29" s="402"/>
      <c r="H29" s="402"/>
      <c r="I29" s="402"/>
      <c r="J29" s="67"/>
      <c r="K29" s="231"/>
    </row>
    <row r="30" spans="1:14" ht="22.9">
      <c r="A30" s="67"/>
      <c r="B30" s="67"/>
      <c r="C30" s="355" t="s">
        <v>3</v>
      </c>
      <c r="D30" s="356"/>
      <c r="E30" s="356"/>
      <c r="F30" s="356"/>
      <c r="G30" s="356"/>
      <c r="H30" s="356"/>
      <c r="I30" s="356"/>
      <c r="J30" s="356"/>
      <c r="K30" s="357"/>
    </row>
    <row r="31" spans="1:14" ht="14.65" customHeight="1">
      <c r="A31" s="67"/>
      <c r="B31" s="67"/>
      <c r="C31" s="230"/>
      <c r="D31" s="67"/>
      <c r="E31" s="68"/>
      <c r="F31" s="68"/>
      <c r="G31" s="68"/>
      <c r="H31" s="68"/>
      <c r="I31" s="68"/>
      <c r="J31" s="67"/>
      <c r="K31" s="231"/>
    </row>
    <row r="32" spans="1:14" ht="22.9">
      <c r="A32" s="67"/>
      <c r="B32" s="67"/>
      <c r="C32" s="230"/>
      <c r="D32" s="67"/>
      <c r="F32" s="71"/>
      <c r="G32" s="70"/>
      <c r="H32" s="69"/>
      <c r="I32" s="68"/>
      <c r="J32" s="67"/>
      <c r="K32" s="231"/>
    </row>
    <row r="33" spans="1:11">
      <c r="A33" s="67"/>
      <c r="B33" s="67"/>
      <c r="C33" s="232"/>
      <c r="D33" s="233"/>
      <c r="E33" s="234"/>
      <c r="F33" s="234"/>
      <c r="G33" s="234"/>
      <c r="H33" s="234"/>
      <c r="I33" s="234"/>
      <c r="J33" s="233"/>
      <c r="K33" s="235"/>
    </row>
    <row r="34" spans="1:11">
      <c r="A34" s="67"/>
      <c r="B34" s="67"/>
      <c r="C34" s="67"/>
      <c r="D34" s="67"/>
      <c r="E34" s="67"/>
      <c r="F34" s="67"/>
      <c r="G34" s="67"/>
      <c r="H34" s="67"/>
      <c r="I34" s="67"/>
      <c r="J34" s="67"/>
      <c r="K34" s="67"/>
    </row>
    <row r="35" spans="1:11">
      <c r="A35" s="67"/>
      <c r="B35" s="67"/>
      <c r="C35" s="67"/>
      <c r="D35" s="67"/>
      <c r="E35" s="67"/>
      <c r="F35" s="67"/>
      <c r="G35" s="67"/>
      <c r="H35" s="67"/>
      <c r="I35" s="67"/>
      <c r="J35" s="67"/>
      <c r="K35" s="67"/>
    </row>
    <row r="36" spans="1:11">
      <c r="A36" s="67"/>
      <c r="B36" s="67"/>
      <c r="C36" s="67"/>
      <c r="D36" s="67"/>
      <c r="E36" s="67"/>
      <c r="F36" s="67"/>
      <c r="G36" s="67"/>
      <c r="H36" s="67"/>
      <c r="I36" s="67"/>
      <c r="J36" s="67"/>
      <c r="K36" s="67"/>
    </row>
    <row r="37" spans="1:11">
      <c r="A37" s="67"/>
      <c r="B37" s="67"/>
      <c r="C37" s="67"/>
      <c r="D37" s="67"/>
      <c r="E37" s="67"/>
      <c r="F37" s="67"/>
      <c r="G37" s="67"/>
      <c r="H37" s="67"/>
      <c r="I37" s="67"/>
      <c r="J37" s="67"/>
      <c r="K37" s="67"/>
    </row>
  </sheetData>
  <mergeCells count="2">
    <mergeCell ref="E29:I29"/>
    <mergeCell ref="C30:K30"/>
  </mergeCells>
  <pageMargins left="0.75" right="0.75" top="1" bottom="1" header="0.5" footer="0.5"/>
  <pageSetup orientation="landscape" r:id="rId1"/>
  <headerFooter alignWithMargins="0">
    <oddFooter>&amp;C&amp;1#&amp;"Arial"&amp;7&amp;K000000Sensitivity: Internal &amp; Restricted&amp;L&amp;"Calibri,Regular"&amp;10&amp;K000000LV= Classification: Confidential</oddFooter>
    <evenFooter>&amp;L&amp;"Calibri,Regular"&amp;10&amp;K000000LV= Classification: Confidential</evenFooter>
    <firstFooter>&amp;L&amp;"Calibri,Regular"&amp;10&amp;K000000LV= Classification: Confidential</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48F1E-CEF9-466A-811B-A47A5F82B2B6}">
  <sheetPr>
    <tabColor indexed="63"/>
    <pageSetUpPr autoPageBreaks="0"/>
  </sheetPr>
  <dimension ref="A1:XFC1048576"/>
  <sheetViews>
    <sheetView showGridLines="0" showRuler="0" zoomScale="90" zoomScaleNormal="90" workbookViewId="0">
      <selection activeCell="A4" sqref="A4:D17"/>
    </sheetView>
  </sheetViews>
  <sheetFormatPr defaultColWidth="0" defaultRowHeight="12.6" customHeight="1" zeroHeight="1"/>
  <cols>
    <col min="1" max="1" width="9.42578125" style="75" customWidth="1"/>
    <col min="2" max="2" width="12.5703125" style="75" customWidth="1"/>
    <col min="3" max="3" width="11.42578125" style="75" customWidth="1"/>
    <col min="4" max="4" width="100.42578125" style="75" customWidth="1"/>
    <col min="5" max="5" width="10.5703125" style="75" hidden="1" customWidth="1"/>
    <col min="6" max="23" width="9.42578125" style="74" hidden="1" customWidth="1"/>
    <col min="24" max="24" width="6.42578125" style="74" hidden="1" customWidth="1"/>
    <col min="25" max="16383" width="9.42578125" style="74" hidden="1"/>
    <col min="16384" max="16384" width="2.42578125" style="74" hidden="1" customWidth="1"/>
  </cols>
  <sheetData>
    <row r="1" spans="1:12" ht="56.25" customHeight="1" thickBot="1">
      <c r="A1" s="358"/>
      <c r="B1" s="359"/>
      <c r="C1" s="359"/>
      <c r="D1" s="359"/>
      <c r="E1" s="359"/>
      <c r="F1" s="86"/>
      <c r="G1" s="86"/>
      <c r="H1" s="86"/>
      <c r="I1" s="86"/>
      <c r="J1" s="86"/>
      <c r="K1" s="86"/>
      <c r="L1" s="86"/>
    </row>
    <row r="2" spans="1:12" ht="15.75" customHeight="1">
      <c r="A2" s="360"/>
      <c r="B2" s="360"/>
      <c r="C2" s="360"/>
      <c r="D2" s="360"/>
      <c r="E2" s="360"/>
      <c r="F2" s="86"/>
      <c r="G2" s="86"/>
      <c r="H2" s="86"/>
      <c r="I2" s="86"/>
      <c r="J2" s="86"/>
      <c r="K2" s="86"/>
      <c r="L2" s="86"/>
    </row>
    <row r="3" spans="1:12" s="82" customFormat="1" ht="18" customHeight="1">
      <c r="A3" s="361" t="s">
        <v>4</v>
      </c>
      <c r="B3" s="361"/>
      <c r="C3" s="361"/>
      <c r="D3" s="361"/>
      <c r="E3" s="85"/>
    </row>
    <row r="4" spans="1:12" s="82" customFormat="1" ht="29.25" customHeight="1">
      <c r="A4" s="362"/>
      <c r="B4" s="362"/>
      <c r="C4" s="362"/>
      <c r="D4" s="362"/>
      <c r="E4" s="84"/>
      <c r="F4" s="83"/>
      <c r="G4" s="83"/>
    </row>
    <row r="5" spans="1:12" s="82" customFormat="1" ht="29.25" customHeight="1">
      <c r="A5" s="362"/>
      <c r="B5" s="362"/>
      <c r="C5" s="362"/>
      <c r="D5" s="362"/>
      <c r="E5" s="84"/>
      <c r="F5" s="83"/>
      <c r="G5" s="83"/>
    </row>
    <row r="6" spans="1:12" s="82" customFormat="1" ht="29.25" customHeight="1">
      <c r="A6" s="362"/>
      <c r="B6" s="362"/>
      <c r="C6" s="362"/>
      <c r="D6" s="362"/>
      <c r="E6" s="84"/>
      <c r="F6" s="83"/>
      <c r="G6" s="83"/>
    </row>
    <row r="7" spans="1:12" s="82" customFormat="1" ht="29.25" customHeight="1">
      <c r="A7" s="362"/>
      <c r="B7" s="362"/>
      <c r="C7" s="362"/>
      <c r="D7" s="362"/>
      <c r="E7" s="84"/>
      <c r="F7" s="83"/>
      <c r="G7" s="83"/>
    </row>
    <row r="8" spans="1:12" s="82" customFormat="1" ht="29.25" customHeight="1">
      <c r="A8" s="362"/>
      <c r="B8" s="362"/>
      <c r="C8" s="362"/>
      <c r="D8" s="362"/>
      <c r="E8" s="84"/>
      <c r="F8" s="83"/>
      <c r="G8" s="83"/>
    </row>
    <row r="9" spans="1:12" s="82" customFormat="1" ht="29.25" customHeight="1">
      <c r="A9" s="362"/>
      <c r="B9" s="362"/>
      <c r="C9" s="362"/>
      <c r="D9" s="362"/>
      <c r="E9" s="84"/>
      <c r="F9" s="83"/>
      <c r="G9" s="83"/>
    </row>
    <row r="10" spans="1:12" s="82" customFormat="1" ht="25.5" customHeight="1">
      <c r="A10" s="362"/>
      <c r="B10" s="362"/>
      <c r="C10" s="362"/>
      <c r="D10" s="362"/>
      <c r="E10" s="84"/>
      <c r="F10" s="83"/>
      <c r="G10" s="83"/>
    </row>
    <row r="11" spans="1:12" s="82" customFormat="1" ht="29.25" customHeight="1">
      <c r="A11" s="362"/>
      <c r="B11" s="362"/>
      <c r="C11" s="362"/>
      <c r="D11" s="362"/>
      <c r="E11" s="84"/>
      <c r="F11" s="83"/>
      <c r="G11" s="83"/>
    </row>
    <row r="12" spans="1:12" s="82" customFormat="1" ht="20.25" customHeight="1">
      <c r="A12" s="362"/>
      <c r="B12" s="362"/>
      <c r="C12" s="362"/>
      <c r="D12" s="362"/>
      <c r="E12" s="84"/>
      <c r="F12" s="83"/>
      <c r="G12" s="83"/>
    </row>
    <row r="13" spans="1:12" s="82" customFormat="1" ht="29.25" customHeight="1">
      <c r="A13" s="362"/>
      <c r="B13" s="362"/>
      <c r="C13" s="362"/>
      <c r="D13" s="362"/>
      <c r="E13" s="84"/>
      <c r="F13" s="83"/>
      <c r="G13" s="83"/>
    </row>
    <row r="14" spans="1:12" s="82" customFormat="1" ht="21.75" customHeight="1">
      <c r="A14" s="362"/>
      <c r="B14" s="362"/>
      <c r="C14" s="362"/>
      <c r="D14" s="362"/>
      <c r="E14" s="84"/>
      <c r="F14" s="83"/>
      <c r="G14" s="83"/>
    </row>
    <row r="15" spans="1:12" s="82" customFormat="1" ht="18" customHeight="1">
      <c r="A15" s="362"/>
      <c r="B15" s="362"/>
      <c r="C15" s="362"/>
      <c r="D15" s="362"/>
      <c r="E15" s="84"/>
      <c r="F15" s="83"/>
      <c r="G15" s="83"/>
    </row>
    <row r="16" spans="1:12" ht="8.25" customHeight="1">
      <c r="A16" s="362"/>
      <c r="B16" s="362"/>
      <c r="C16" s="362"/>
      <c r="D16" s="362"/>
      <c r="E16" s="80"/>
      <c r="F16" s="79"/>
      <c r="G16" s="79"/>
    </row>
    <row r="17" spans="1:7" ht="109.35" customHeight="1">
      <c r="A17" s="362"/>
      <c r="B17" s="362"/>
      <c r="C17" s="362"/>
      <c r="D17" s="362"/>
      <c r="E17" s="80"/>
      <c r="F17" s="79"/>
      <c r="G17" s="79"/>
    </row>
    <row r="18" spans="1:7" ht="18.75" hidden="1" customHeight="1">
      <c r="B18" s="81"/>
      <c r="C18" s="363"/>
      <c r="D18" s="363"/>
      <c r="E18" s="80"/>
      <c r="F18" s="79"/>
      <c r="G18" s="79"/>
    </row>
    <row r="19" spans="1:7" ht="29.25" hidden="1" customHeight="1"/>
    <row r="20" spans="1:7" ht="29.25" hidden="1" customHeight="1"/>
    <row r="21" spans="1:7" ht="29.25" hidden="1" customHeight="1"/>
    <row r="36" spans="1:3" ht="13.9" hidden="1">
      <c r="A36" s="76"/>
      <c r="B36" s="76"/>
      <c r="C36" s="78"/>
    </row>
    <row r="37" spans="1:3" ht="15" hidden="1">
      <c r="A37" s="200"/>
      <c r="B37" s="200"/>
      <c r="C37" s="78"/>
    </row>
    <row r="38" spans="1:3" ht="15" hidden="1">
      <c r="A38" s="200"/>
      <c r="B38" s="200"/>
      <c r="C38" s="78"/>
    </row>
    <row r="39" spans="1:3" ht="15" hidden="1">
      <c r="A39" s="200"/>
      <c r="B39" s="200"/>
      <c r="C39" s="78"/>
    </row>
    <row r="40" spans="1:3" ht="15" hidden="1">
      <c r="A40" s="200"/>
      <c r="B40" s="200"/>
      <c r="C40" s="78"/>
    </row>
    <row r="41" spans="1:3" ht="15" hidden="1">
      <c r="A41" s="201"/>
      <c r="B41" s="201"/>
      <c r="C41" s="78"/>
    </row>
    <row r="42" spans="1:3" ht="15" hidden="1">
      <c r="A42" s="201"/>
      <c r="B42" s="201"/>
      <c r="C42" s="78"/>
    </row>
    <row r="43" spans="1:3" ht="15" hidden="1">
      <c r="A43" s="201"/>
      <c r="B43" s="201"/>
      <c r="C43" s="76"/>
    </row>
    <row r="44" spans="1:3" ht="15" hidden="1">
      <c r="A44" s="201"/>
      <c r="B44" s="201"/>
      <c r="C44" s="76"/>
    </row>
    <row r="45" spans="1:3" ht="13.9" hidden="1">
      <c r="A45" s="76"/>
      <c r="B45" s="76"/>
      <c r="C45" s="78"/>
    </row>
    <row r="46" spans="1:3" ht="13.15" hidden="1">
      <c r="A46" s="76"/>
      <c r="B46" s="76"/>
      <c r="C46" s="76"/>
    </row>
    <row r="47" spans="1:3" ht="13.15" hidden="1">
      <c r="A47" s="76"/>
      <c r="B47" s="76"/>
      <c r="C47" s="76"/>
    </row>
    <row r="48" spans="1:3" ht="13.15" hidden="1">
      <c r="A48" s="76"/>
      <c r="B48" s="76"/>
      <c r="C48" s="76"/>
    </row>
    <row r="49" spans="1:3" ht="13.15" hidden="1">
      <c r="A49" s="76"/>
      <c r="B49" s="76"/>
      <c r="C49" s="76"/>
    </row>
    <row r="50" spans="1:3" ht="13.15" hidden="1">
      <c r="A50" s="76"/>
      <c r="B50" s="76"/>
      <c r="C50" s="76"/>
    </row>
    <row r="51" spans="1:3" ht="14.45" hidden="1">
      <c r="A51" s="76"/>
      <c r="B51" s="76"/>
      <c r="C51" s="77"/>
    </row>
    <row r="52" spans="1:3" ht="13.15" hidden="1">
      <c r="A52" s="76"/>
      <c r="B52" s="76"/>
      <c r="C52" s="76"/>
    </row>
    <row r="53" spans="1:3" ht="13.15" hidden="1">
      <c r="A53" s="76"/>
      <c r="B53" s="76"/>
      <c r="C53" s="76"/>
    </row>
    <row r="54" spans="1:3" ht="13.15" hidden="1">
      <c r="A54" s="76"/>
      <c r="B54" s="76"/>
      <c r="C54" s="76"/>
    </row>
    <row r="1048573" spans="1:4" ht="6" hidden="1" customHeight="1"/>
    <row r="1048576" spans="1:4" ht="58.35" customHeight="1">
      <c r="A1048576" s="136"/>
      <c r="B1048576" s="136"/>
      <c r="C1048576" s="136"/>
      <c r="D1048576" s="136"/>
    </row>
  </sheetData>
  <mergeCells count="5">
    <mergeCell ref="A1:E1"/>
    <mergeCell ref="A2:E2"/>
    <mergeCell ref="A3:D3"/>
    <mergeCell ref="A4:D17"/>
    <mergeCell ref="C18:D18"/>
  </mergeCells>
  <pageMargins left="0.75" right="0.75" top="1" bottom="1" header="0.5" footer="0.5"/>
  <pageSetup orientation="portrait" verticalDpi="90" r:id="rId1"/>
  <headerFooter alignWithMargins="0">
    <oddFooter>&amp;C&amp;1#&amp;"Arial"&amp;7&amp;K000000Sensitivity: Internal &amp; Restricted&amp;L&amp;"Calibri,Regular"&amp;10&amp;K000000LV= Classification: Confidential</oddFooter>
    <evenFooter>&amp;L&amp;"Calibri,Regular"&amp;10&amp;K000000LV= Classification: Confidential</evenFooter>
    <firstFooter>&amp;L&amp;"Calibri,Regular"&amp;10&amp;K000000LV= Classification: Confidential</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249977111117893"/>
    <pageSetUpPr autoPageBreaks="0"/>
  </sheetPr>
  <dimension ref="A1:I36"/>
  <sheetViews>
    <sheetView showGridLines="0" showRuler="0" topLeftCell="A19" zoomScale="80" zoomScaleNormal="80" workbookViewId="0">
      <selection activeCell="D32" sqref="D32"/>
    </sheetView>
  </sheetViews>
  <sheetFormatPr defaultColWidth="9.42578125" defaultRowHeight="13.15"/>
  <cols>
    <col min="1" max="1" width="4" style="74" bestFit="1" customWidth="1"/>
    <col min="2" max="2" width="42.5703125" style="74" customWidth="1"/>
    <col min="3" max="3" width="23.28515625" style="163" customWidth="1"/>
    <col min="4" max="5" width="33" style="88" customWidth="1"/>
    <col min="6" max="6" width="40" style="88" customWidth="1"/>
    <col min="7" max="7" width="10.7109375" style="74" bestFit="1" customWidth="1"/>
    <col min="8" max="254" width="9.42578125" style="74" customWidth="1"/>
    <col min="255" max="16384" width="9.42578125" style="74"/>
  </cols>
  <sheetData>
    <row r="1" spans="1:8" ht="13.9" thickBot="1">
      <c r="A1" s="132" t="s">
        <v>5</v>
      </c>
      <c r="B1" s="90"/>
      <c r="C1" s="161"/>
      <c r="D1" s="89"/>
      <c r="E1" s="89"/>
      <c r="F1" s="89"/>
    </row>
    <row r="2" spans="1:8" s="88" customFormat="1" ht="26.45" thickBot="1">
      <c r="B2" s="364" t="str">
        <f>'Title Sheet'!$C$30</f>
        <v xml:space="preserve"> Version: 0.1</v>
      </c>
      <c r="C2" s="365"/>
      <c r="D2" s="365"/>
      <c r="E2" s="365"/>
      <c r="F2" s="365"/>
    </row>
    <row r="3" spans="1:8" s="88" customFormat="1" ht="13.9" thickBot="1">
      <c r="C3" s="162"/>
    </row>
    <row r="4" spans="1:8" ht="30.6" customHeight="1" thickBot="1">
      <c r="A4" s="88"/>
      <c r="B4" s="164" t="s">
        <v>6</v>
      </c>
      <c r="C4" s="165"/>
      <c r="D4" s="165"/>
      <c r="E4" s="165"/>
      <c r="F4" s="165"/>
      <c r="G4" s="88"/>
      <c r="H4" s="88"/>
    </row>
    <row r="5" spans="1:8" ht="27.6" customHeight="1">
      <c r="A5" s="88"/>
      <c r="B5" s="194" t="s">
        <v>7</v>
      </c>
      <c r="C5" s="194" t="s">
        <v>8</v>
      </c>
      <c r="D5" s="194" t="s">
        <v>9</v>
      </c>
      <c r="E5" s="194" t="s">
        <v>10</v>
      </c>
      <c r="F5" s="194" t="s">
        <v>11</v>
      </c>
      <c r="G5" s="88" t="s">
        <v>12</v>
      </c>
    </row>
    <row r="6" spans="1:8" ht="19.5" customHeight="1">
      <c r="A6" s="88"/>
      <c r="B6" s="191" t="s">
        <v>13</v>
      </c>
      <c r="C6" s="192">
        <v>50</v>
      </c>
      <c r="D6" s="192">
        <v>60</v>
      </c>
      <c r="E6" s="192">
        <f>D6+10</f>
        <v>70</v>
      </c>
      <c r="F6" s="192">
        <f>E6+10</f>
        <v>80</v>
      </c>
    </row>
    <row r="7" spans="1:8" ht="14.45">
      <c r="A7" s="88"/>
      <c r="B7" s="191" t="s">
        <v>14</v>
      </c>
      <c r="C7" s="192">
        <v>40</v>
      </c>
      <c r="D7" s="192">
        <v>45</v>
      </c>
      <c r="E7" s="192">
        <f t="shared" ref="E7:F11" si="0">D7+10</f>
        <v>55</v>
      </c>
      <c r="F7" s="192">
        <f t="shared" si="0"/>
        <v>65</v>
      </c>
    </row>
    <row r="8" spans="1:8" ht="14.45">
      <c r="A8" s="88"/>
      <c r="B8" s="199" t="s">
        <v>15</v>
      </c>
      <c r="C8" s="192">
        <v>35</v>
      </c>
      <c r="D8" s="192">
        <v>50</v>
      </c>
      <c r="E8" s="192">
        <f t="shared" si="0"/>
        <v>60</v>
      </c>
      <c r="F8" s="192">
        <f t="shared" si="0"/>
        <v>70</v>
      </c>
    </row>
    <row r="9" spans="1:8" ht="14.45">
      <c r="A9" s="89"/>
      <c r="B9" s="191" t="s">
        <v>16</v>
      </c>
      <c r="C9" s="192">
        <v>30</v>
      </c>
      <c r="D9" s="192">
        <v>35</v>
      </c>
      <c r="E9" s="192">
        <f t="shared" si="0"/>
        <v>45</v>
      </c>
      <c r="F9" s="192">
        <f t="shared" si="0"/>
        <v>55</v>
      </c>
    </row>
    <row r="10" spans="1:8" ht="14.45">
      <c r="A10" s="89"/>
      <c r="B10" s="191" t="s">
        <v>17</v>
      </c>
      <c r="C10" s="192">
        <v>30</v>
      </c>
      <c r="D10" s="192">
        <v>35</v>
      </c>
      <c r="E10" s="192">
        <f t="shared" si="0"/>
        <v>45</v>
      </c>
      <c r="F10" s="192">
        <f t="shared" si="0"/>
        <v>55</v>
      </c>
      <c r="G10" s="159"/>
    </row>
    <row r="11" spans="1:8" ht="23.1" customHeight="1">
      <c r="A11" s="89"/>
      <c r="B11" s="191" t="s">
        <v>18</v>
      </c>
      <c r="C11" s="192">
        <v>15</v>
      </c>
      <c r="D11" s="192">
        <v>20</v>
      </c>
      <c r="E11" s="192">
        <f t="shared" si="0"/>
        <v>30</v>
      </c>
      <c r="F11" s="192">
        <f t="shared" si="0"/>
        <v>40</v>
      </c>
    </row>
    <row r="12" spans="1:8" ht="17.649999999999999" customHeight="1">
      <c r="A12" s="89"/>
      <c r="B12" s="191" t="s">
        <v>19</v>
      </c>
      <c r="C12" s="192">
        <v>10</v>
      </c>
      <c r="D12" s="192">
        <v>15</v>
      </c>
      <c r="E12" s="192">
        <v>20</v>
      </c>
      <c r="F12" s="192">
        <v>25</v>
      </c>
    </row>
    <row r="13" spans="1:8" ht="14.45">
      <c r="A13" s="89"/>
      <c r="B13" s="191" t="s">
        <v>20</v>
      </c>
      <c r="C13" s="192">
        <v>5</v>
      </c>
      <c r="D13" s="192">
        <v>10</v>
      </c>
      <c r="E13" s="192">
        <v>15</v>
      </c>
      <c r="F13" s="192">
        <v>20</v>
      </c>
      <c r="G13" s="74" t="s">
        <v>21</v>
      </c>
    </row>
    <row r="14" spans="1:8" ht="14.45">
      <c r="A14" s="89"/>
      <c r="B14" s="191" t="s">
        <v>22</v>
      </c>
      <c r="C14" s="192">
        <v>1</v>
      </c>
      <c r="D14" s="192">
        <v>1</v>
      </c>
      <c r="E14" s="192">
        <v>1</v>
      </c>
      <c r="F14" s="192">
        <v>1</v>
      </c>
    </row>
    <row r="15" spans="1:8" ht="38.65" customHeight="1">
      <c r="A15" s="89"/>
      <c r="B15" s="191" t="s">
        <v>23</v>
      </c>
      <c r="C15" s="192" t="s">
        <v>24</v>
      </c>
      <c r="D15" s="192" t="s">
        <v>25</v>
      </c>
      <c r="E15" s="192" t="s">
        <v>25</v>
      </c>
      <c r="F15" s="192" t="s">
        <v>25</v>
      </c>
    </row>
    <row r="16" spans="1:8" ht="14.45">
      <c r="A16" s="89"/>
      <c r="B16" s="191" t="s">
        <v>26</v>
      </c>
      <c r="C16" s="193" t="s">
        <v>27</v>
      </c>
      <c r="D16" s="193" t="s">
        <v>27</v>
      </c>
      <c r="E16" s="193" t="s">
        <v>27</v>
      </c>
      <c r="F16" s="193" t="s">
        <v>27</v>
      </c>
    </row>
    <row r="17" spans="1:8" ht="14.45">
      <c r="A17" s="89"/>
      <c r="B17" s="191" t="s">
        <v>28</v>
      </c>
      <c r="C17" s="193" t="s">
        <v>29</v>
      </c>
      <c r="D17" s="193" t="s">
        <v>29</v>
      </c>
      <c r="E17" s="193" t="s">
        <v>29</v>
      </c>
      <c r="F17" s="193" t="s">
        <v>29</v>
      </c>
    </row>
    <row r="19" spans="1:8">
      <c r="E19" s="88" t="s">
        <v>30</v>
      </c>
    </row>
    <row r="20" spans="1:8" ht="30.6" customHeight="1" thickBot="1">
      <c r="A20" s="88"/>
      <c r="B20" s="366" t="s">
        <v>31</v>
      </c>
      <c r="C20" s="367"/>
      <c r="D20" s="367"/>
      <c r="E20" s="367"/>
      <c r="F20" s="367"/>
      <c r="G20" s="367"/>
      <c r="H20" s="88"/>
    </row>
    <row r="21" spans="1:8" s="163" customFormat="1" ht="15" thickBot="1">
      <c r="B21" s="174" t="s">
        <v>32</v>
      </c>
      <c r="C21" s="198">
        <v>1</v>
      </c>
      <c r="D21" s="198">
        <v>2</v>
      </c>
      <c r="E21" s="198">
        <v>3</v>
      </c>
      <c r="F21" s="198">
        <v>4</v>
      </c>
      <c r="G21" s="198">
        <v>5</v>
      </c>
    </row>
    <row r="22" spans="1:8" ht="14.45">
      <c r="B22" s="170" t="s">
        <v>33</v>
      </c>
      <c r="C22" s="169" t="s">
        <v>34</v>
      </c>
      <c r="D22" s="169" t="s">
        <v>35</v>
      </c>
      <c r="E22" s="169" t="s">
        <v>36</v>
      </c>
      <c r="F22" s="169" t="s">
        <v>37</v>
      </c>
      <c r="G22" s="169" t="s">
        <v>38</v>
      </c>
    </row>
    <row r="23" spans="1:8" ht="14.45">
      <c r="B23" s="171" t="s">
        <v>39</v>
      </c>
      <c r="C23" s="166" t="s">
        <v>40</v>
      </c>
      <c r="D23" s="181" t="s">
        <v>41</v>
      </c>
      <c r="E23" s="166" t="s">
        <v>42</v>
      </c>
      <c r="F23" s="166" t="s">
        <v>43</v>
      </c>
      <c r="G23" s="166" t="s">
        <v>44</v>
      </c>
    </row>
    <row r="24" spans="1:8" ht="14.45">
      <c r="B24" s="171" t="s">
        <v>45</v>
      </c>
      <c r="C24" s="166" t="s">
        <v>40</v>
      </c>
      <c r="D24" s="166" t="s">
        <v>41</v>
      </c>
      <c r="E24" s="166" t="s">
        <v>46</v>
      </c>
      <c r="F24" s="166" t="s">
        <v>47</v>
      </c>
      <c r="G24" s="166" t="s">
        <v>48</v>
      </c>
    </row>
    <row r="25" spans="1:8" ht="15" thickBot="1">
      <c r="B25" s="172" t="s">
        <v>49</v>
      </c>
      <c r="C25" s="173" t="s">
        <v>50</v>
      </c>
      <c r="D25" s="173" t="s">
        <v>51</v>
      </c>
      <c r="E25" s="173" t="s">
        <v>52</v>
      </c>
      <c r="F25" s="173" t="s">
        <v>53</v>
      </c>
      <c r="G25" s="173" t="s">
        <v>54</v>
      </c>
    </row>
    <row r="27" spans="1:8" ht="13.9" thickBot="1"/>
    <row r="28" spans="1:8" ht="15" thickBot="1">
      <c r="B28" s="168"/>
      <c r="C28" s="167" t="s">
        <v>55</v>
      </c>
      <c r="E28" s="74"/>
      <c r="F28" s="167" t="s">
        <v>56</v>
      </c>
    </row>
    <row r="29" spans="1:8" ht="14.45">
      <c r="B29" s="185" t="s">
        <v>57</v>
      </c>
      <c r="C29" s="182">
        <v>2</v>
      </c>
      <c r="E29" s="176" t="s">
        <v>58</v>
      </c>
      <c r="F29" s="177" t="s">
        <v>59</v>
      </c>
    </row>
    <row r="30" spans="1:8" ht="14.45">
      <c r="B30" s="186" t="s">
        <v>39</v>
      </c>
      <c r="C30" s="183">
        <v>1</v>
      </c>
      <c r="E30" s="175" t="s">
        <v>60</v>
      </c>
      <c r="F30" s="178" t="s">
        <v>61</v>
      </c>
    </row>
    <row r="31" spans="1:8" ht="14.45">
      <c r="B31" s="186" t="s">
        <v>62</v>
      </c>
      <c r="C31" s="183">
        <v>1</v>
      </c>
      <c r="E31" s="175" t="s">
        <v>63</v>
      </c>
      <c r="F31" s="178" t="s">
        <v>42</v>
      </c>
    </row>
    <row r="32" spans="1:8" ht="15" thickBot="1">
      <c r="B32" s="187" t="s">
        <v>49</v>
      </c>
      <c r="C32" s="184">
        <v>1</v>
      </c>
      <c r="E32" s="179" t="s">
        <v>64</v>
      </c>
      <c r="F32" s="180" t="s">
        <v>65</v>
      </c>
    </row>
    <row r="33" spans="2:9" ht="15" thickBot="1">
      <c r="B33" s="188" t="s">
        <v>66</v>
      </c>
      <c r="C33" s="189">
        <f>SUM(C29:C32)</f>
        <v>5</v>
      </c>
    </row>
    <row r="36" spans="2:9" ht="31.9" thickBot="1">
      <c r="B36" s="366" t="s">
        <v>67</v>
      </c>
      <c r="C36" s="367" t="s">
        <v>68</v>
      </c>
      <c r="D36" s="367"/>
      <c r="E36" s="367"/>
      <c r="F36" s="367"/>
      <c r="G36" s="367"/>
      <c r="H36" s="368" t="s">
        <v>69</v>
      </c>
      <c r="I36" s="368"/>
    </row>
  </sheetData>
  <mergeCells count="4">
    <mergeCell ref="B2:F2"/>
    <mergeCell ref="B20:G20"/>
    <mergeCell ref="B36:G36"/>
    <mergeCell ref="H36:I36"/>
  </mergeCells>
  <hyperlinks>
    <hyperlink ref="A1" location="ToC!A1" display="TOC" xr:uid="{00000000-0004-0000-0300-000000000000}"/>
  </hyperlinks>
  <pageMargins left="0.75" right="0.75" top="1" bottom="1" header="0.5" footer="0.5"/>
  <pageSetup orientation="portrait" verticalDpi="90" r:id="rId1"/>
  <headerFooter alignWithMargins="0">
    <oddFooter>&amp;C&amp;1#&amp;"Arial"&amp;7&amp;K000000Sensitivity: Internal &amp; Restricted&amp;L&amp;"Calibri,Regular"&amp;10&amp;K000000LV= Classification: Confidential</oddFooter>
    <evenFooter>&amp;L&amp;"Calibri,Regular"&amp;10&amp;K000000LV= Classification: Confidential</evenFooter>
    <firstFooter>&amp;L&amp;"Calibri,Regular"&amp;10&amp;K000000LV= Classification: Confidential</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pageSetUpPr autoPageBreaks="0"/>
  </sheetPr>
  <dimension ref="A1:XFC32"/>
  <sheetViews>
    <sheetView showGridLines="0" workbookViewId="0">
      <selection activeCell="A2" sqref="A2:K2"/>
    </sheetView>
  </sheetViews>
  <sheetFormatPr defaultColWidth="9.42578125" defaultRowHeight="13.35" customHeight="1" zeroHeight="1"/>
  <cols>
    <col min="1" max="1" width="9.42578125" style="74" customWidth="1"/>
    <col min="2" max="2" width="23" style="74" customWidth="1"/>
    <col min="3" max="3" width="28.42578125" style="74" customWidth="1"/>
    <col min="4" max="4" width="58.5703125" style="74" customWidth="1"/>
    <col min="5" max="6" width="12.42578125" style="74" hidden="1" customWidth="1"/>
    <col min="7" max="7" width="10.5703125" style="74" hidden="1" customWidth="1"/>
    <col min="8" max="8" width="20.5703125" style="74" hidden="1" customWidth="1"/>
    <col min="9" max="9" width="25.5703125" style="74" hidden="1" customWidth="1"/>
    <col min="10" max="10" width="10.42578125" style="74" hidden="1" customWidth="1"/>
    <col min="11" max="11" width="19.5703125" style="74" hidden="1" customWidth="1"/>
    <col min="12" max="12" width="10.5703125" style="74" hidden="1" customWidth="1"/>
    <col min="13" max="16383" width="0" style="74" hidden="1" customWidth="1"/>
    <col min="16384" max="16384" width="5.5703125" style="74" hidden="1" customWidth="1"/>
  </cols>
  <sheetData>
    <row r="1" spans="1:12" ht="105.75" customHeight="1" thickBot="1">
      <c r="A1" s="371" t="s">
        <v>70</v>
      </c>
      <c r="B1" s="372"/>
      <c r="C1" s="372"/>
      <c r="D1" s="372"/>
      <c r="E1" s="372"/>
      <c r="F1" s="372"/>
      <c r="G1" s="372"/>
      <c r="H1" s="372"/>
      <c r="I1" s="372"/>
      <c r="J1" s="372"/>
      <c r="K1" s="373"/>
      <c r="L1" s="91"/>
    </row>
    <row r="2" spans="1:12" ht="13.9" thickBot="1">
      <c r="A2" s="374"/>
      <c r="B2" s="375"/>
      <c r="C2" s="375"/>
      <c r="D2" s="375"/>
      <c r="E2" s="375"/>
      <c r="F2" s="375"/>
      <c r="G2" s="375"/>
      <c r="H2" s="375"/>
      <c r="I2" s="375"/>
      <c r="J2" s="375"/>
      <c r="K2" s="376"/>
      <c r="L2" s="91"/>
    </row>
    <row r="3" spans="1:12" ht="13.9" thickBot="1">
      <c r="A3" s="107"/>
      <c r="B3" s="92"/>
      <c r="C3" s="93"/>
      <c r="D3" s="93"/>
      <c r="E3" s="93"/>
      <c r="F3" s="93"/>
      <c r="G3" s="93"/>
      <c r="H3" s="93"/>
      <c r="I3" s="93"/>
      <c r="J3" s="93"/>
      <c r="K3" s="108"/>
      <c r="L3" s="91"/>
    </row>
    <row r="4" spans="1:12" ht="13.15">
      <c r="A4" s="377" t="s">
        <v>71</v>
      </c>
      <c r="B4" s="378"/>
      <c r="C4" s="106" t="s">
        <v>72</v>
      </c>
      <c r="D4" s="106" t="s">
        <v>73</v>
      </c>
      <c r="E4" s="95"/>
      <c r="F4" s="96"/>
      <c r="G4" s="97"/>
      <c r="H4" s="94"/>
      <c r="I4" s="95"/>
      <c r="J4" s="95"/>
      <c r="K4" s="95"/>
      <c r="L4" s="91"/>
    </row>
    <row r="5" spans="1:12" ht="13.15">
      <c r="A5" s="379" t="s">
        <v>74</v>
      </c>
      <c r="B5" s="380"/>
      <c r="C5" s="236" t="s">
        <v>74</v>
      </c>
      <c r="D5" s="236" t="s">
        <v>74</v>
      </c>
      <c r="E5" s="98"/>
      <c r="F5" s="99"/>
      <c r="G5" s="100"/>
      <c r="H5" s="101"/>
      <c r="I5" s="98"/>
      <c r="J5" s="98"/>
      <c r="K5" s="109"/>
      <c r="L5" s="91"/>
    </row>
    <row r="6" spans="1:12" ht="13.15">
      <c r="A6" s="369"/>
      <c r="B6" s="370"/>
      <c r="C6" s="116"/>
      <c r="D6" s="117"/>
      <c r="E6" s="98"/>
      <c r="F6" s="99"/>
      <c r="G6" s="100"/>
      <c r="H6" s="101"/>
      <c r="I6" s="98"/>
      <c r="J6" s="98"/>
      <c r="K6" s="109"/>
      <c r="L6" s="91"/>
    </row>
    <row r="7" spans="1:12" ht="13.15">
      <c r="A7" s="369"/>
      <c r="B7" s="370"/>
      <c r="C7" s="116"/>
      <c r="D7" s="117"/>
      <c r="E7" s="98"/>
      <c r="F7" s="99"/>
      <c r="G7" s="100"/>
      <c r="H7" s="101"/>
      <c r="I7" s="98"/>
      <c r="J7" s="98"/>
      <c r="K7" s="109"/>
      <c r="L7" s="91"/>
    </row>
    <row r="8" spans="1:12" ht="13.15">
      <c r="A8" s="369"/>
      <c r="B8" s="370"/>
      <c r="C8" s="116"/>
      <c r="D8" s="117"/>
      <c r="E8" s="98"/>
      <c r="F8" s="99"/>
      <c r="G8" s="100"/>
      <c r="H8" s="101"/>
      <c r="I8" s="98"/>
      <c r="J8" s="98"/>
      <c r="K8" s="109"/>
      <c r="L8" s="91"/>
    </row>
    <row r="9" spans="1:12" ht="13.15">
      <c r="A9" s="369"/>
      <c r="B9" s="370"/>
      <c r="C9" s="116"/>
      <c r="D9" s="117"/>
      <c r="E9" s="98"/>
      <c r="F9" s="99"/>
      <c r="G9" s="100"/>
      <c r="H9" s="101"/>
      <c r="I9" s="98"/>
      <c r="J9" s="98"/>
      <c r="K9" s="109"/>
      <c r="L9" s="91"/>
    </row>
    <row r="10" spans="1:12" ht="13.15">
      <c r="A10" s="369"/>
      <c r="B10" s="370"/>
      <c r="C10" s="116"/>
      <c r="D10" s="117"/>
      <c r="E10" s="98"/>
      <c r="F10" s="99"/>
      <c r="G10" s="100"/>
      <c r="H10" s="101"/>
      <c r="I10" s="98"/>
      <c r="J10" s="98"/>
      <c r="K10" s="109"/>
      <c r="L10" s="91"/>
    </row>
    <row r="11" spans="1:12" ht="13.15">
      <c r="A11" s="369"/>
      <c r="B11" s="370"/>
      <c r="C11" s="116"/>
      <c r="D11" s="117"/>
      <c r="E11" s="98"/>
      <c r="F11" s="99"/>
      <c r="G11" s="100"/>
      <c r="H11" s="101"/>
      <c r="I11" s="98"/>
      <c r="J11" s="98"/>
      <c r="K11" s="109"/>
      <c r="L11" s="91"/>
    </row>
    <row r="12" spans="1:12" ht="13.15">
      <c r="A12" s="369"/>
      <c r="B12" s="370"/>
      <c r="C12" s="116"/>
      <c r="D12" s="117"/>
      <c r="E12" s="98"/>
      <c r="F12" s="99"/>
      <c r="G12" s="100"/>
      <c r="H12" s="101"/>
      <c r="I12" s="98"/>
      <c r="J12" s="98"/>
      <c r="K12" s="109"/>
      <c r="L12" s="91"/>
    </row>
    <row r="13" spans="1:12" ht="13.15">
      <c r="A13" s="369"/>
      <c r="B13" s="370"/>
      <c r="C13" s="116"/>
      <c r="D13" s="117"/>
      <c r="E13" s="98"/>
      <c r="F13" s="99"/>
      <c r="G13" s="100"/>
      <c r="H13" s="101"/>
      <c r="I13" s="98"/>
      <c r="J13" s="98"/>
      <c r="K13" s="109"/>
      <c r="L13" s="91"/>
    </row>
    <row r="14" spans="1:12" ht="13.15">
      <c r="A14" s="369"/>
      <c r="B14" s="370"/>
      <c r="C14" s="116"/>
      <c r="D14" s="117"/>
      <c r="E14" s="102"/>
      <c r="F14" s="103"/>
      <c r="G14" s="104"/>
      <c r="H14" s="105"/>
      <c r="I14" s="102"/>
      <c r="J14" s="102"/>
      <c r="K14" s="110"/>
      <c r="L14" s="91"/>
    </row>
    <row r="15" spans="1:12" ht="15.75" customHeight="1">
      <c r="A15" s="369"/>
      <c r="B15" s="370"/>
      <c r="C15" s="116"/>
      <c r="D15" s="118"/>
      <c r="E15" s="111"/>
      <c r="F15" s="112"/>
      <c r="G15" s="113"/>
      <c r="H15" s="114"/>
      <c r="I15" s="111"/>
      <c r="J15" s="111"/>
      <c r="K15" s="115"/>
      <c r="L15" s="91"/>
    </row>
    <row r="16" spans="1:12" ht="13.15" hidden="1">
      <c r="A16" s="91"/>
      <c r="B16" s="91"/>
      <c r="C16" s="91"/>
      <c r="D16" s="91"/>
      <c r="E16" s="91"/>
      <c r="F16" s="91"/>
      <c r="G16" s="91"/>
      <c r="H16" s="91"/>
      <c r="I16" s="91"/>
      <c r="J16" s="91"/>
      <c r="K16" s="91"/>
      <c r="L16" s="91"/>
    </row>
    <row r="17" spans="1:12" ht="13.15" hidden="1">
      <c r="A17" s="91"/>
      <c r="B17" s="91"/>
      <c r="C17" s="91"/>
      <c r="D17" s="91"/>
      <c r="E17" s="91"/>
      <c r="F17" s="91"/>
      <c r="G17" s="91"/>
      <c r="H17" s="91"/>
      <c r="I17" s="91"/>
      <c r="J17" s="91"/>
      <c r="K17" s="91"/>
      <c r="L17" s="91"/>
    </row>
    <row r="18" spans="1:12" ht="13.15" hidden="1"/>
    <row r="19" spans="1:12" ht="13.15" hidden="1"/>
    <row r="20" spans="1:12" ht="13.15" hidden="1"/>
    <row r="21" spans="1:12" ht="13.15" hidden="1"/>
    <row r="22" spans="1:12" ht="13.15" hidden="1"/>
    <row r="23" spans="1:12" ht="13.15" hidden="1"/>
    <row r="24" spans="1:12" ht="13.15" hidden="1"/>
    <row r="25" spans="1:12" ht="13.15" hidden="1"/>
    <row r="26" spans="1:12" ht="13.15" hidden="1"/>
    <row r="27" spans="1:12" ht="13.15" hidden="1"/>
    <row r="28" spans="1:12" ht="13.15" hidden="1"/>
    <row r="29" spans="1:12" ht="13.15" hidden="1"/>
    <row r="30" spans="1:12" ht="13.15" hidden="1"/>
    <row r="31" spans="1:12" ht="13.15" hidden="1"/>
    <row r="32" spans="1:12" ht="13.35" customHeight="1"/>
  </sheetData>
  <protectedRanges>
    <protectedRange password="C6D0" sqref="G1:G2" name="Date and Start Time_1_1" securityDescriptor="O:WDG:WDD:(A;;CC;;;S-1-5-21-53694668-648618266-1194094237-263271)"/>
  </protectedRanges>
  <mergeCells count="14">
    <mergeCell ref="A7:B7"/>
    <mergeCell ref="A1:K1"/>
    <mergeCell ref="A2:K2"/>
    <mergeCell ref="A4:B4"/>
    <mergeCell ref="A5:B5"/>
    <mergeCell ref="A6:B6"/>
    <mergeCell ref="A14:B14"/>
    <mergeCell ref="A15:B15"/>
    <mergeCell ref="A8:B8"/>
    <mergeCell ref="A9:B9"/>
    <mergeCell ref="A10:B10"/>
    <mergeCell ref="A11:B11"/>
    <mergeCell ref="A12:B12"/>
    <mergeCell ref="A13:B13"/>
  </mergeCells>
  <dataValidations count="1">
    <dataValidation type="list" showInputMessage="1" showErrorMessage="1" sqref="E5:E15 J5:J15" xr:uid="{00000000-0002-0000-0400-000000000000}">
      <formula1>"Yes,No"</formula1>
    </dataValidation>
  </dataValidations>
  <pageMargins left="0.7" right="0.7" top="0.75" bottom="0.75" header="0.3" footer="0.3"/>
  <pageSetup orientation="portrait" verticalDpi="90" r:id="rId1"/>
  <headerFooter>
    <oddFooter>&amp;C&amp;1#&amp;"Arial"&amp;7&amp;K000000Sensitivity: Internal &amp; Restricted&amp;L&amp;"Calibri,Regular"&amp;10&amp;K000000LV= Classification: Confidential</oddFooter>
    <evenFooter>&amp;L&amp;"Calibri,Regular"&amp;10&amp;K000000LV= Classification: Confidential</evenFooter>
    <firstFooter>&amp;L&amp;"Calibri,Regular"&amp;10&amp;K000000LV= Classification: Confidential</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3"/>
  <sheetViews>
    <sheetView zoomScale="80" zoomScaleNormal="80" workbookViewId="0">
      <selection sqref="A1:C1"/>
    </sheetView>
  </sheetViews>
  <sheetFormatPr defaultColWidth="6.42578125" defaultRowHeight="18" customHeight="1"/>
  <cols>
    <col min="1" max="1" width="3.42578125" style="17" bestFit="1" customWidth="1"/>
    <col min="2" max="2" width="6.28515625" style="17" bestFit="1" customWidth="1"/>
    <col min="3" max="3" width="30.42578125" style="42" bestFit="1" customWidth="1"/>
    <col min="4" max="4" width="92.5703125" style="42" customWidth="1"/>
    <col min="5" max="5" width="19.42578125" style="42" bestFit="1" customWidth="1"/>
    <col min="6" max="6" width="12.42578125" style="42" customWidth="1"/>
    <col min="7" max="7" width="14.28515625" style="42" bestFit="1" customWidth="1"/>
    <col min="8" max="9" width="13" style="42" customWidth="1"/>
    <col min="10" max="10" width="19.42578125" style="17" customWidth="1"/>
    <col min="11" max="11" width="15.42578125" style="17" customWidth="1"/>
    <col min="12" max="16384" width="6.42578125" style="17"/>
  </cols>
  <sheetData>
    <row r="1" spans="1:11" ht="18" customHeight="1">
      <c r="A1" s="381" t="s">
        <v>5</v>
      </c>
      <c r="B1" s="382"/>
      <c r="C1" s="382"/>
    </row>
    <row r="2" spans="1:11" ht="26.45">
      <c r="A2" s="121" t="s">
        <v>75</v>
      </c>
      <c r="B2" s="122" t="s">
        <v>76</v>
      </c>
      <c r="C2" s="123" t="s">
        <v>77</v>
      </c>
      <c r="D2" s="124" t="s">
        <v>78</v>
      </c>
      <c r="E2" s="124" t="s">
        <v>79</v>
      </c>
      <c r="F2" s="124" t="s">
        <v>80</v>
      </c>
      <c r="G2" s="125" t="s">
        <v>81</v>
      </c>
      <c r="H2" s="129" t="s">
        <v>82</v>
      </c>
      <c r="I2" s="126" t="s">
        <v>83</v>
      </c>
      <c r="J2" s="124" t="s">
        <v>84</v>
      </c>
      <c r="K2" s="124" t="s">
        <v>85</v>
      </c>
    </row>
    <row r="3" spans="1:11" ht="18" customHeight="1">
      <c r="A3" s="18"/>
      <c r="B3" s="19"/>
      <c r="C3" s="20"/>
      <c r="D3" s="44" t="s">
        <v>86</v>
      </c>
      <c r="E3" s="63"/>
      <c r="F3" s="63"/>
      <c r="G3" s="22"/>
      <c r="H3" s="131"/>
      <c r="I3" s="33"/>
      <c r="J3" s="23"/>
      <c r="K3" s="24"/>
    </row>
    <row r="4" spans="1:11" ht="18" customHeight="1">
      <c r="A4" s="25">
        <v>1</v>
      </c>
      <c r="B4" s="26"/>
      <c r="C4" s="27" t="s">
        <v>87</v>
      </c>
      <c r="D4" s="137" t="s">
        <v>88</v>
      </c>
      <c r="E4" s="62" t="s">
        <v>89</v>
      </c>
      <c r="F4" s="64" t="s">
        <v>90</v>
      </c>
      <c r="G4" s="64" t="s">
        <v>90</v>
      </c>
      <c r="H4" s="64" t="s">
        <v>90</v>
      </c>
      <c r="I4" s="64" t="s">
        <v>90</v>
      </c>
      <c r="J4" s="64" t="s">
        <v>90</v>
      </c>
      <c r="K4" s="64" t="s">
        <v>90</v>
      </c>
    </row>
    <row r="5" spans="1:11" ht="18" customHeight="1">
      <c r="A5" s="25">
        <v>2</v>
      </c>
      <c r="B5" s="26"/>
      <c r="C5" s="27" t="s">
        <v>87</v>
      </c>
      <c r="D5" s="30" t="s">
        <v>91</v>
      </c>
      <c r="E5" s="62" t="s">
        <v>89</v>
      </c>
      <c r="F5" s="64" t="s">
        <v>90</v>
      </c>
      <c r="G5" s="64" t="s">
        <v>90</v>
      </c>
      <c r="H5" s="64" t="s">
        <v>90</v>
      </c>
      <c r="I5" s="64" t="s">
        <v>90</v>
      </c>
      <c r="J5" s="64" t="s">
        <v>90</v>
      </c>
      <c r="K5" s="64" t="s">
        <v>90</v>
      </c>
    </row>
    <row r="6" spans="1:11" ht="26.45">
      <c r="A6" s="25">
        <v>3</v>
      </c>
      <c r="B6" s="26"/>
      <c r="C6" s="27" t="s">
        <v>92</v>
      </c>
      <c r="D6" s="30" t="s">
        <v>93</v>
      </c>
      <c r="E6" s="62" t="s">
        <v>89</v>
      </c>
      <c r="F6" s="64" t="s">
        <v>90</v>
      </c>
      <c r="G6" s="64" t="s">
        <v>90</v>
      </c>
      <c r="H6" s="64" t="s">
        <v>90</v>
      </c>
      <c r="I6" s="64" t="s">
        <v>90</v>
      </c>
      <c r="J6" s="64" t="s">
        <v>90</v>
      </c>
      <c r="K6" s="64" t="s">
        <v>90</v>
      </c>
    </row>
    <row r="7" spans="1:11" ht="26.45">
      <c r="A7" s="25">
        <v>4</v>
      </c>
      <c r="B7" s="26"/>
      <c r="C7" s="27" t="s">
        <v>92</v>
      </c>
      <c r="D7" s="30" t="s">
        <v>94</v>
      </c>
      <c r="E7" s="62" t="s">
        <v>89</v>
      </c>
      <c r="F7" s="64" t="s">
        <v>90</v>
      </c>
      <c r="G7" s="64" t="s">
        <v>90</v>
      </c>
      <c r="H7" s="64" t="s">
        <v>90</v>
      </c>
      <c r="I7" s="64" t="s">
        <v>90</v>
      </c>
      <c r="J7" s="64" t="s">
        <v>90</v>
      </c>
      <c r="K7" s="64" t="s">
        <v>90</v>
      </c>
    </row>
    <row r="8" spans="1:11" ht="26.45">
      <c r="A8" s="25">
        <v>5</v>
      </c>
      <c r="B8" s="26"/>
      <c r="C8" s="27" t="s">
        <v>92</v>
      </c>
      <c r="D8" s="30" t="s">
        <v>95</v>
      </c>
      <c r="E8" s="62" t="s">
        <v>89</v>
      </c>
      <c r="F8" s="64" t="s">
        <v>90</v>
      </c>
      <c r="G8" s="64" t="s">
        <v>90</v>
      </c>
      <c r="H8" s="64" t="s">
        <v>90</v>
      </c>
      <c r="I8" s="64" t="s">
        <v>90</v>
      </c>
      <c r="J8" s="64" t="s">
        <v>90</v>
      </c>
      <c r="K8" s="64" t="s">
        <v>90</v>
      </c>
    </row>
    <row r="9" spans="1:11" ht="18" customHeight="1">
      <c r="A9" s="25">
        <v>6</v>
      </c>
      <c r="B9" s="26"/>
      <c r="C9" s="27" t="s">
        <v>96</v>
      </c>
      <c r="D9" s="30" t="s">
        <v>97</v>
      </c>
      <c r="E9" s="62" t="s">
        <v>89</v>
      </c>
      <c r="F9" s="64" t="s">
        <v>90</v>
      </c>
      <c r="G9" s="64" t="s">
        <v>90</v>
      </c>
      <c r="H9" s="64" t="s">
        <v>90</v>
      </c>
      <c r="I9" s="64" t="s">
        <v>90</v>
      </c>
      <c r="J9" s="64" t="s">
        <v>90</v>
      </c>
      <c r="K9" s="64" t="s">
        <v>90</v>
      </c>
    </row>
    <row r="10" spans="1:11" ht="18" customHeight="1">
      <c r="A10" s="25">
        <v>7</v>
      </c>
      <c r="B10" s="29"/>
      <c r="C10" s="27" t="s">
        <v>92</v>
      </c>
      <c r="D10" s="27" t="s">
        <v>98</v>
      </c>
      <c r="E10" s="62" t="s">
        <v>89</v>
      </c>
      <c r="F10" s="64" t="s">
        <v>90</v>
      </c>
      <c r="G10" s="64" t="s">
        <v>90</v>
      </c>
      <c r="H10" s="64" t="s">
        <v>90</v>
      </c>
      <c r="I10" s="64" t="s">
        <v>90</v>
      </c>
      <c r="J10" s="64" t="s">
        <v>90</v>
      </c>
      <c r="K10" s="64" t="s">
        <v>90</v>
      </c>
    </row>
    <row r="11" spans="1:11" ht="18" customHeight="1">
      <c r="A11" s="25">
        <v>8</v>
      </c>
      <c r="B11" s="29"/>
      <c r="C11" s="27" t="s">
        <v>99</v>
      </c>
      <c r="D11" s="30" t="s">
        <v>100</v>
      </c>
      <c r="E11" s="62" t="s">
        <v>89</v>
      </c>
      <c r="F11" s="64" t="s">
        <v>90</v>
      </c>
      <c r="G11" s="64" t="s">
        <v>90</v>
      </c>
      <c r="H11" s="64" t="s">
        <v>90</v>
      </c>
      <c r="I11" s="64" t="s">
        <v>90</v>
      </c>
      <c r="J11" s="64" t="s">
        <v>90</v>
      </c>
      <c r="K11" s="64" t="s">
        <v>90</v>
      </c>
    </row>
    <row r="12" spans="1:11" ht="18" customHeight="1">
      <c r="A12" s="25">
        <v>9</v>
      </c>
      <c r="B12" s="29"/>
      <c r="C12" s="30" t="s">
        <v>99</v>
      </c>
      <c r="D12" s="137" t="s">
        <v>101</v>
      </c>
      <c r="E12" s="62" t="s">
        <v>89</v>
      </c>
      <c r="F12" s="64" t="s">
        <v>90</v>
      </c>
      <c r="G12" s="64" t="s">
        <v>90</v>
      </c>
      <c r="H12" s="64" t="s">
        <v>90</v>
      </c>
      <c r="I12" s="64" t="s">
        <v>90</v>
      </c>
      <c r="J12" s="64" t="s">
        <v>90</v>
      </c>
      <c r="K12" s="64" t="s">
        <v>90</v>
      </c>
    </row>
    <row r="13" spans="1:11" ht="18" customHeight="1">
      <c r="A13" s="31"/>
      <c r="B13" s="19"/>
      <c r="C13" s="20"/>
      <c r="D13" s="44" t="s">
        <v>102</v>
      </c>
      <c r="E13" s="32"/>
      <c r="F13" s="32"/>
      <c r="G13" s="32"/>
      <c r="H13" s="32"/>
      <c r="I13" s="33"/>
      <c r="J13" s="23"/>
      <c r="K13" s="24"/>
    </row>
    <row r="14" spans="1:11" ht="13.15">
      <c r="A14" s="37">
        <v>10</v>
      </c>
      <c r="B14" s="26"/>
      <c r="C14" s="37" t="s">
        <v>103</v>
      </c>
      <c r="D14" s="138" t="s">
        <v>104</v>
      </c>
      <c r="E14" s="62" t="s">
        <v>89</v>
      </c>
      <c r="F14" s="64" t="s">
        <v>90</v>
      </c>
      <c r="G14" s="64" t="s">
        <v>90</v>
      </c>
      <c r="H14" s="64" t="s">
        <v>90</v>
      </c>
      <c r="I14" s="64" t="s">
        <v>90</v>
      </c>
      <c r="J14" s="64" t="s">
        <v>90</v>
      </c>
      <c r="K14" s="64" t="s">
        <v>90</v>
      </c>
    </row>
    <row r="15" spans="1:11" ht="18" customHeight="1">
      <c r="A15" s="37">
        <v>11</v>
      </c>
      <c r="B15" s="34"/>
      <c r="C15" s="27" t="s">
        <v>105</v>
      </c>
      <c r="D15" s="139" t="s">
        <v>106</v>
      </c>
      <c r="E15" s="62" t="s">
        <v>89</v>
      </c>
      <c r="F15" s="64" t="s">
        <v>90</v>
      </c>
      <c r="G15" s="64" t="s">
        <v>90</v>
      </c>
      <c r="H15" s="64" t="s">
        <v>90</v>
      </c>
      <c r="I15" s="64" t="s">
        <v>90</v>
      </c>
      <c r="J15" s="64" t="s">
        <v>90</v>
      </c>
      <c r="K15" s="64" t="s">
        <v>90</v>
      </c>
    </row>
    <row r="16" spans="1:11" ht="18" customHeight="1">
      <c r="A16" s="37">
        <v>12</v>
      </c>
      <c r="B16" s="35"/>
      <c r="C16" s="27" t="s">
        <v>105</v>
      </c>
      <c r="D16" s="140" t="s">
        <v>107</v>
      </c>
      <c r="E16" s="62" t="s">
        <v>89</v>
      </c>
      <c r="F16" s="64" t="s">
        <v>90</v>
      </c>
      <c r="G16" s="64" t="s">
        <v>90</v>
      </c>
      <c r="H16" s="64" t="s">
        <v>90</v>
      </c>
      <c r="I16" s="64" t="s">
        <v>90</v>
      </c>
      <c r="J16" s="64" t="s">
        <v>90</v>
      </c>
      <c r="K16" s="64" t="s">
        <v>90</v>
      </c>
    </row>
    <row r="17" spans="1:11" ht="18" customHeight="1">
      <c r="A17" s="37">
        <v>13</v>
      </c>
      <c r="B17" s="35"/>
      <c r="C17" s="27" t="s">
        <v>105</v>
      </c>
      <c r="D17" s="140" t="s">
        <v>108</v>
      </c>
      <c r="E17" s="62" t="s">
        <v>89</v>
      </c>
      <c r="F17" s="64" t="s">
        <v>90</v>
      </c>
      <c r="G17" s="64" t="s">
        <v>90</v>
      </c>
      <c r="H17" s="64" t="s">
        <v>90</v>
      </c>
      <c r="I17" s="64" t="s">
        <v>90</v>
      </c>
      <c r="J17" s="64" t="s">
        <v>90</v>
      </c>
      <c r="K17" s="64" t="s">
        <v>90</v>
      </c>
    </row>
    <row r="18" spans="1:11" ht="18" customHeight="1">
      <c r="A18" s="37">
        <v>14</v>
      </c>
      <c r="B18" s="35"/>
      <c r="C18" s="27" t="s">
        <v>105</v>
      </c>
      <c r="D18" s="140" t="s">
        <v>109</v>
      </c>
      <c r="E18" s="62" t="s">
        <v>89</v>
      </c>
      <c r="F18" s="64" t="s">
        <v>90</v>
      </c>
      <c r="G18" s="64" t="s">
        <v>90</v>
      </c>
      <c r="H18" s="64" t="s">
        <v>90</v>
      </c>
      <c r="I18" s="64" t="s">
        <v>90</v>
      </c>
      <c r="J18" s="64" t="s">
        <v>90</v>
      </c>
      <c r="K18" s="64" t="s">
        <v>90</v>
      </c>
    </row>
    <row r="19" spans="1:11" ht="18" customHeight="1">
      <c r="A19" s="37">
        <v>15</v>
      </c>
      <c r="B19" s="35"/>
      <c r="C19" s="27" t="s">
        <v>105</v>
      </c>
      <c r="D19" s="140" t="s">
        <v>110</v>
      </c>
      <c r="E19" s="62" t="s">
        <v>89</v>
      </c>
      <c r="F19" s="64" t="s">
        <v>90</v>
      </c>
      <c r="G19" s="64" t="s">
        <v>90</v>
      </c>
      <c r="H19" s="64" t="s">
        <v>90</v>
      </c>
      <c r="I19" s="64" t="s">
        <v>90</v>
      </c>
      <c r="J19" s="64" t="s">
        <v>90</v>
      </c>
      <c r="K19" s="64" t="s">
        <v>90</v>
      </c>
    </row>
    <row r="20" spans="1:11" ht="18" customHeight="1">
      <c r="A20" s="37">
        <v>16</v>
      </c>
      <c r="B20" s="35"/>
      <c r="C20" s="27" t="s">
        <v>105</v>
      </c>
      <c r="D20" s="140" t="s">
        <v>111</v>
      </c>
      <c r="E20" s="62" t="s">
        <v>89</v>
      </c>
      <c r="F20" s="64" t="s">
        <v>90</v>
      </c>
      <c r="G20" s="64" t="s">
        <v>90</v>
      </c>
      <c r="H20" s="64" t="s">
        <v>90</v>
      </c>
      <c r="I20" s="64" t="s">
        <v>90</v>
      </c>
      <c r="J20" s="64" t="s">
        <v>90</v>
      </c>
      <c r="K20" s="64" t="s">
        <v>90</v>
      </c>
    </row>
    <row r="21" spans="1:11" ht="18" customHeight="1">
      <c r="A21" s="37">
        <v>17</v>
      </c>
      <c r="B21" s="26"/>
      <c r="C21" s="27" t="s">
        <v>105</v>
      </c>
      <c r="D21" s="139" t="s">
        <v>112</v>
      </c>
      <c r="E21" s="62" t="s">
        <v>89</v>
      </c>
      <c r="F21" s="64" t="s">
        <v>90</v>
      </c>
      <c r="G21" s="64" t="s">
        <v>90</v>
      </c>
      <c r="H21" s="64" t="s">
        <v>90</v>
      </c>
      <c r="I21" s="64" t="s">
        <v>90</v>
      </c>
      <c r="J21" s="64" t="s">
        <v>90</v>
      </c>
      <c r="K21" s="64" t="s">
        <v>90</v>
      </c>
    </row>
    <row r="22" spans="1:11" ht="18" customHeight="1">
      <c r="A22" s="37">
        <v>18</v>
      </c>
      <c r="B22" s="26"/>
      <c r="C22" s="27" t="s">
        <v>105</v>
      </c>
      <c r="D22" s="139" t="s">
        <v>113</v>
      </c>
      <c r="E22" s="62" t="s">
        <v>89</v>
      </c>
      <c r="F22" s="64" t="s">
        <v>90</v>
      </c>
      <c r="G22" s="64" t="s">
        <v>90</v>
      </c>
      <c r="H22" s="64" t="s">
        <v>90</v>
      </c>
      <c r="I22" s="64" t="s">
        <v>90</v>
      </c>
      <c r="J22" s="64" t="s">
        <v>90</v>
      </c>
      <c r="K22" s="64" t="s">
        <v>90</v>
      </c>
    </row>
    <row r="23" spans="1:11" ht="18" customHeight="1">
      <c r="A23" s="37">
        <v>19</v>
      </c>
      <c r="B23" s="26"/>
      <c r="C23" s="27" t="s">
        <v>105</v>
      </c>
      <c r="D23" s="40" t="s">
        <v>114</v>
      </c>
      <c r="E23" s="62" t="s">
        <v>89</v>
      </c>
      <c r="F23" s="64" t="s">
        <v>90</v>
      </c>
      <c r="G23" s="64" t="s">
        <v>90</v>
      </c>
      <c r="H23" s="64" t="s">
        <v>90</v>
      </c>
      <c r="I23" s="64" t="s">
        <v>90</v>
      </c>
      <c r="J23" s="64" t="s">
        <v>90</v>
      </c>
      <c r="K23" s="64" t="s">
        <v>90</v>
      </c>
    </row>
    <row r="24" spans="1:11" ht="18" customHeight="1">
      <c r="A24" s="31"/>
      <c r="B24" s="19"/>
      <c r="C24" s="20"/>
      <c r="D24" s="44" t="s">
        <v>115</v>
      </c>
      <c r="E24" s="32"/>
      <c r="F24" s="32"/>
      <c r="G24" s="32"/>
      <c r="H24" s="32"/>
      <c r="I24" s="33"/>
      <c r="J24" s="23"/>
      <c r="K24" s="24"/>
    </row>
    <row r="25" spans="1:11" ht="18" customHeight="1">
      <c r="A25" s="25">
        <v>20</v>
      </c>
      <c r="B25" s="26"/>
      <c r="C25" s="27" t="s">
        <v>116</v>
      </c>
      <c r="D25" s="30" t="s">
        <v>117</v>
      </c>
      <c r="E25" s="62" t="s">
        <v>89</v>
      </c>
      <c r="F25" s="64" t="s">
        <v>90</v>
      </c>
      <c r="G25" s="64" t="s">
        <v>90</v>
      </c>
      <c r="H25" s="64" t="s">
        <v>90</v>
      </c>
      <c r="I25" s="64" t="s">
        <v>90</v>
      </c>
      <c r="J25" s="64" t="s">
        <v>90</v>
      </c>
      <c r="K25" s="64" t="s">
        <v>90</v>
      </c>
    </row>
    <row r="26" spans="1:11" ht="18" customHeight="1">
      <c r="A26" s="25">
        <v>21</v>
      </c>
      <c r="B26" s="26"/>
      <c r="C26" s="27" t="s">
        <v>116</v>
      </c>
      <c r="D26" s="141" t="s">
        <v>118</v>
      </c>
      <c r="E26" s="62" t="s">
        <v>89</v>
      </c>
      <c r="F26" s="64" t="s">
        <v>90</v>
      </c>
      <c r="G26" s="64" t="s">
        <v>90</v>
      </c>
      <c r="H26" s="64" t="s">
        <v>90</v>
      </c>
      <c r="I26" s="64" t="s">
        <v>90</v>
      </c>
      <c r="J26" s="64" t="s">
        <v>90</v>
      </c>
      <c r="K26" s="64" t="s">
        <v>90</v>
      </c>
    </row>
    <row r="27" spans="1:11" ht="18" customHeight="1">
      <c r="A27" s="25">
        <v>22</v>
      </c>
      <c r="B27" s="35"/>
      <c r="C27" s="27" t="s">
        <v>116</v>
      </c>
      <c r="D27" s="30" t="s">
        <v>119</v>
      </c>
      <c r="E27" s="62" t="s">
        <v>89</v>
      </c>
      <c r="F27" s="64" t="s">
        <v>90</v>
      </c>
      <c r="G27" s="64" t="s">
        <v>90</v>
      </c>
      <c r="H27" s="64" t="s">
        <v>90</v>
      </c>
      <c r="I27" s="64" t="s">
        <v>90</v>
      </c>
      <c r="J27" s="64" t="s">
        <v>90</v>
      </c>
      <c r="K27" s="64" t="s">
        <v>90</v>
      </c>
    </row>
    <row r="28" spans="1:11" ht="18" customHeight="1">
      <c r="A28" s="25">
        <v>23</v>
      </c>
      <c r="B28" s="35"/>
      <c r="C28" s="27" t="s">
        <v>116</v>
      </c>
      <c r="D28" s="30" t="s">
        <v>120</v>
      </c>
      <c r="E28" s="62" t="s">
        <v>89</v>
      </c>
      <c r="F28" s="64" t="s">
        <v>90</v>
      </c>
      <c r="G28" s="64" t="s">
        <v>90</v>
      </c>
      <c r="H28" s="64" t="s">
        <v>90</v>
      </c>
      <c r="I28" s="64" t="s">
        <v>90</v>
      </c>
      <c r="J28" s="64" t="s">
        <v>90</v>
      </c>
      <c r="K28" s="64" t="s">
        <v>90</v>
      </c>
    </row>
    <row r="29" spans="1:11" ht="18" customHeight="1">
      <c r="A29" s="31"/>
      <c r="B29" s="19"/>
      <c r="C29" s="20"/>
      <c r="D29" s="44" t="s">
        <v>121</v>
      </c>
      <c r="E29" s="32"/>
      <c r="F29" s="32"/>
      <c r="G29" s="32"/>
      <c r="H29" s="32"/>
      <c r="I29" s="33"/>
      <c r="J29" s="23"/>
      <c r="K29" s="24"/>
    </row>
    <row r="30" spans="1:11" ht="18" customHeight="1">
      <c r="A30" s="37">
        <v>24</v>
      </c>
      <c r="B30" s="38"/>
      <c r="C30" s="39" t="s">
        <v>122</v>
      </c>
      <c r="D30" s="142" t="s">
        <v>123</v>
      </c>
      <c r="E30" s="62" t="s">
        <v>89</v>
      </c>
      <c r="F30" s="64" t="s">
        <v>90</v>
      </c>
      <c r="G30" s="64" t="s">
        <v>90</v>
      </c>
      <c r="H30" s="64" t="s">
        <v>90</v>
      </c>
      <c r="I30" s="64" t="s">
        <v>90</v>
      </c>
      <c r="J30" s="64" t="s">
        <v>90</v>
      </c>
      <c r="K30" s="64" t="s">
        <v>90</v>
      </c>
    </row>
    <row r="31" spans="1:11" ht="18" customHeight="1">
      <c r="A31" s="37">
        <v>25</v>
      </c>
      <c r="B31" s="38"/>
      <c r="C31" s="39" t="s">
        <v>122</v>
      </c>
      <c r="D31" s="142" t="s">
        <v>124</v>
      </c>
      <c r="E31" s="62" t="s">
        <v>89</v>
      </c>
      <c r="F31" s="64" t="s">
        <v>90</v>
      </c>
      <c r="G31" s="64" t="s">
        <v>90</v>
      </c>
      <c r="H31" s="64" t="s">
        <v>90</v>
      </c>
      <c r="I31" s="64" t="s">
        <v>90</v>
      </c>
      <c r="J31" s="64" t="s">
        <v>90</v>
      </c>
      <c r="K31" s="64" t="s">
        <v>90</v>
      </c>
    </row>
    <row r="32" spans="1:11" ht="18" customHeight="1">
      <c r="A32" s="31"/>
      <c r="B32" s="19"/>
      <c r="C32" s="20"/>
      <c r="D32" s="44" t="s">
        <v>125</v>
      </c>
      <c r="E32" s="32"/>
      <c r="F32" s="32"/>
      <c r="G32" s="32"/>
      <c r="H32" s="32"/>
      <c r="I32" s="33"/>
      <c r="J32" s="23"/>
      <c r="K32" s="24"/>
    </row>
    <row r="33" spans="1:11" ht="39.6">
      <c r="A33" s="37">
        <v>26</v>
      </c>
      <c r="B33" s="38"/>
      <c r="C33" s="39" t="s">
        <v>126</v>
      </c>
      <c r="D33" s="142" t="s">
        <v>127</v>
      </c>
      <c r="E33" s="62" t="s">
        <v>89</v>
      </c>
      <c r="F33" s="64" t="s">
        <v>90</v>
      </c>
      <c r="G33" s="64" t="s">
        <v>90</v>
      </c>
      <c r="H33" s="64" t="s">
        <v>90</v>
      </c>
      <c r="I33" s="64" t="s">
        <v>90</v>
      </c>
      <c r="J33" s="64" t="s">
        <v>90</v>
      </c>
      <c r="K33" s="64" t="s">
        <v>90</v>
      </c>
    </row>
  </sheetData>
  <protectedRanges>
    <protectedRange password="C6D0" sqref="H2" name="Date and Start Time_8_1_2_1_5" securityDescriptor="O:WDG:WDD:(A;;CC;;;S-1-5-21-53694668-648618266-1194094237-263271)"/>
    <protectedRange password="C6D0" sqref="H3" name="Date and Start Time_8_1_5_1_1_1_5" securityDescriptor="O:WDG:WDD:(A;;CC;;;S-1-5-21-53694668-648618266-1194094237-263271)"/>
  </protectedRanges>
  <mergeCells count="1">
    <mergeCell ref="A1:C1"/>
  </mergeCells>
  <conditionalFormatting sqref="A13">
    <cfRule type="cellIs" dxfId="66" priority="30" stopIfTrue="1" operator="equal">
      <formula>"Completed"</formula>
    </cfRule>
    <cfRule type="cellIs" dxfId="65" priority="31" stopIfTrue="1" operator="equal">
      <formula>"In Progress"</formula>
    </cfRule>
    <cfRule type="cellIs" dxfId="64" priority="32" stopIfTrue="1" operator="equal">
      <formula>"Delayed"</formula>
    </cfRule>
  </conditionalFormatting>
  <conditionalFormatting sqref="A24">
    <cfRule type="cellIs" dxfId="63" priority="27" stopIfTrue="1" operator="equal">
      <formula>"Completed"</formula>
    </cfRule>
    <cfRule type="cellIs" dxfId="62" priority="28" stopIfTrue="1" operator="equal">
      <formula>"In Progress"</formula>
    </cfRule>
    <cfRule type="cellIs" dxfId="61" priority="29" stopIfTrue="1" operator="equal">
      <formula>"Delayed"</formula>
    </cfRule>
  </conditionalFormatting>
  <conditionalFormatting sqref="A29:B29">
    <cfRule type="cellIs" dxfId="60" priority="14" stopIfTrue="1" operator="equal">
      <formula>"Completed"</formula>
    </cfRule>
    <cfRule type="cellIs" dxfId="59" priority="15" stopIfTrue="1" operator="equal">
      <formula>"In Progress"</formula>
    </cfRule>
    <cfRule type="cellIs" dxfId="58" priority="16" stopIfTrue="1" operator="equal">
      <formula>"Delayed"</formula>
    </cfRule>
  </conditionalFormatting>
  <conditionalFormatting sqref="A32:B32">
    <cfRule type="cellIs" dxfId="57" priority="4" stopIfTrue="1" operator="equal">
      <formula>"Completed"</formula>
    </cfRule>
    <cfRule type="cellIs" dxfId="56" priority="5" stopIfTrue="1" operator="equal">
      <formula>"In Progress"</formula>
    </cfRule>
    <cfRule type="cellIs" dxfId="55" priority="6" stopIfTrue="1" operator="equal">
      <formula>"Delayed"</formula>
    </cfRule>
  </conditionalFormatting>
  <conditionalFormatting sqref="B2:B15">
    <cfRule type="cellIs" dxfId="54" priority="1" stopIfTrue="1" operator="equal">
      <formula>"Completed"</formula>
    </cfRule>
    <cfRule type="cellIs" dxfId="53" priority="2" stopIfTrue="1" operator="equal">
      <formula>"In Progress"</formula>
    </cfRule>
    <cfRule type="cellIs" dxfId="52" priority="3" stopIfTrue="1" operator="equal">
      <formula>"Delayed"</formula>
    </cfRule>
  </conditionalFormatting>
  <conditionalFormatting sqref="B21:B26">
    <cfRule type="cellIs" dxfId="51" priority="33" stopIfTrue="1" operator="equal">
      <formula>"Completed"</formula>
    </cfRule>
    <cfRule type="cellIs" dxfId="50" priority="34" stopIfTrue="1" operator="equal">
      <formula>"In Progress"</formula>
    </cfRule>
    <cfRule type="cellIs" dxfId="49" priority="35" stopIfTrue="1" operator="equal">
      <formula>"Delayed"</formula>
    </cfRule>
  </conditionalFormatting>
  <conditionalFormatting sqref="H4:H13">
    <cfRule type="expression" dxfId="48" priority="25" stopIfTrue="1">
      <formula>AND(TODAY()&gt;H4,B4&lt;&gt;"Completed",B4&lt;&gt;"N/A",H4&lt;&gt;"")</formula>
    </cfRule>
    <cfRule type="expression" dxfId="47" priority="26" stopIfTrue="1">
      <formula>AND(TODAY()+2&gt;H4,B4&lt;&gt;"Completed",B4&lt;&gt;"N/A",H4&lt;&gt;"")</formula>
    </cfRule>
  </conditionalFormatting>
  <conditionalFormatting sqref="H24">
    <cfRule type="expression" dxfId="46" priority="23" stopIfTrue="1">
      <formula>AND(TODAY()&gt;H24,B24&lt;&gt;"Completed",B24&lt;&gt;"N/A",H24&lt;&gt;"")</formula>
    </cfRule>
    <cfRule type="expression" dxfId="45" priority="24" stopIfTrue="1">
      <formula>AND(TODAY()+2&gt;H24,B24&lt;&gt;"Completed",B24&lt;&gt;"N/A",H24&lt;&gt;"")</formula>
    </cfRule>
  </conditionalFormatting>
  <conditionalFormatting sqref="H29">
    <cfRule type="expression" dxfId="44" priority="12" stopIfTrue="1">
      <formula>AND(TODAY()&gt;H29,B29&lt;&gt;"Completed",B29&lt;&gt;"N/A",H29&lt;&gt;"")</formula>
    </cfRule>
    <cfRule type="expression" dxfId="43" priority="13" stopIfTrue="1">
      <formula>AND(TODAY()+2&gt;H29,B29&lt;&gt;"Completed",B29&lt;&gt;"N/A",H29&lt;&gt;"")</formula>
    </cfRule>
  </conditionalFormatting>
  <conditionalFormatting sqref="H32">
    <cfRule type="expression" dxfId="42" priority="7" stopIfTrue="1">
      <formula>AND(TODAY()&gt;H32,B32&lt;&gt;"Completed",B32&lt;&gt;"N/A",H32&lt;&gt;"")</formula>
    </cfRule>
    <cfRule type="expression" dxfId="41" priority="8" stopIfTrue="1">
      <formula>AND(TODAY()+2&gt;H32,B32&lt;&gt;"Completed",B32&lt;&gt;"N/A",H32&lt;&gt;"")</formula>
    </cfRule>
  </conditionalFormatting>
  <dataValidations count="1">
    <dataValidation type="list" allowBlank="1" showInputMessage="1" showErrorMessage="1" sqref="B25:B26 B33 B21:B23 B4:B9 B14" xr:uid="{00000000-0002-0000-0700-000000000000}">
      <formula1>"Pending, In Progress, Completed, Delayed, N/A"</formula1>
    </dataValidation>
  </dataValidations>
  <hyperlinks>
    <hyperlink ref="A1" location="ToC!A1" display="TOC" xr:uid="{00000000-0004-0000-0700-000000000000}"/>
  </hyperlinks>
  <pageMargins left="0.7" right="0.7" top="0.75" bottom="0.75" header="0.3" footer="0.3"/>
  <pageSetup orientation="portrait" r:id="rId1"/>
  <headerFooter>
    <oddFooter>&amp;C&amp;1#&amp;"Arial"&amp;7&amp;K000000Sensitivity: Internal &amp; Restricted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91E16-03B2-47E6-AA93-686551182EB0}">
  <dimension ref="A1:F7"/>
  <sheetViews>
    <sheetView zoomScale="96" zoomScaleNormal="96" workbookViewId="0">
      <selection activeCell="B7" sqref="B7"/>
    </sheetView>
  </sheetViews>
  <sheetFormatPr defaultColWidth="8.85546875" defaultRowHeight="15.6"/>
  <cols>
    <col min="1" max="1" width="14.28515625" style="288" bestFit="1" customWidth="1"/>
    <col min="2" max="2" width="86.140625" style="288" bestFit="1" customWidth="1"/>
    <col min="3" max="3" width="8.7109375" style="288" bestFit="1" customWidth="1"/>
    <col min="4" max="4" width="15.85546875" style="288" bestFit="1" customWidth="1"/>
    <col min="5" max="5" width="23.42578125" style="288" bestFit="1" customWidth="1"/>
    <col min="6" max="6" width="8.28515625" style="288" bestFit="1" customWidth="1"/>
    <col min="7" max="16384" width="8.85546875" style="288"/>
  </cols>
  <sheetData>
    <row r="1" spans="1:6" ht="19.149999999999999">
      <c r="A1" s="285" t="s">
        <v>128</v>
      </c>
      <c r="B1" s="285" t="s">
        <v>129</v>
      </c>
      <c r="C1" s="285" t="s">
        <v>130</v>
      </c>
      <c r="D1" s="285" t="s">
        <v>131</v>
      </c>
      <c r="E1" s="286" t="s">
        <v>132</v>
      </c>
      <c r="F1" s="287" t="s">
        <v>76</v>
      </c>
    </row>
    <row r="2" spans="1:6" ht="46.9">
      <c r="A2" s="289" t="s">
        <v>133</v>
      </c>
      <c r="B2" s="290" t="s">
        <v>134</v>
      </c>
      <c r="C2" s="290"/>
      <c r="D2" s="291"/>
      <c r="E2" s="292"/>
      <c r="F2" s="293"/>
    </row>
    <row r="3" spans="1:6">
      <c r="A3" s="289" t="s">
        <v>133</v>
      </c>
      <c r="B3" s="291" t="s">
        <v>135</v>
      </c>
      <c r="C3" s="290"/>
      <c r="D3" s="291"/>
      <c r="E3" s="292"/>
      <c r="F3" s="293"/>
    </row>
    <row r="4" spans="1:6" ht="31.15">
      <c r="A4" s="289" t="s">
        <v>133</v>
      </c>
      <c r="B4" s="290" t="s">
        <v>136</v>
      </c>
      <c r="C4" s="290"/>
      <c r="D4" s="291"/>
      <c r="E4" s="292"/>
      <c r="F4" s="293"/>
    </row>
    <row r="5" spans="1:6">
      <c r="A5" s="289" t="s">
        <v>133</v>
      </c>
      <c r="B5" s="291" t="s">
        <v>137</v>
      </c>
      <c r="C5" s="290"/>
      <c r="D5" s="291"/>
      <c r="E5" s="292"/>
      <c r="F5" s="293"/>
    </row>
    <row r="6" spans="1:6">
      <c r="A6" s="289" t="s">
        <v>133</v>
      </c>
      <c r="B6" s="291" t="s">
        <v>138</v>
      </c>
      <c r="C6" s="291"/>
      <c r="D6" s="291"/>
      <c r="E6" s="292"/>
      <c r="F6" s="293"/>
    </row>
    <row r="7" spans="1:6" ht="31.15">
      <c r="A7" s="289" t="s">
        <v>133</v>
      </c>
      <c r="B7" s="290" t="s">
        <v>139</v>
      </c>
      <c r="C7" s="290"/>
      <c r="D7" s="291"/>
      <c r="E7" s="292"/>
      <c r="F7" s="2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98F17-ECC2-4DFF-A1C7-80170B9ABEAB}">
  <dimension ref="A1:K13"/>
  <sheetViews>
    <sheetView zoomScale="90" zoomScaleNormal="90" workbookViewId="0">
      <pane ySplit="1" topLeftCell="A2" activePane="bottomLeft" state="frozen"/>
      <selection pane="bottomLeft" activeCell="E1" sqref="E1"/>
    </sheetView>
  </sheetViews>
  <sheetFormatPr defaultColWidth="6.42578125" defaultRowHeight="19.149999999999999"/>
  <cols>
    <col min="1" max="1" width="3.7109375" style="298" bestFit="1" customWidth="1"/>
    <col min="2" max="2" width="8.7109375" style="298" bestFit="1" customWidth="1"/>
    <col min="3" max="3" width="15.7109375" style="298" bestFit="1" customWidth="1"/>
    <col min="4" max="4" width="10.7109375" style="320" bestFit="1" customWidth="1"/>
    <col min="5" max="5" width="97.140625" style="321" bestFit="1" customWidth="1"/>
    <col min="6" max="6" width="13.28515625" style="320" bestFit="1" customWidth="1"/>
    <col min="7" max="7" width="12.140625" style="320" bestFit="1" customWidth="1"/>
    <col min="8" max="8" width="11" style="320" bestFit="1" customWidth="1"/>
    <col min="9" max="9" width="14.7109375" style="321" bestFit="1" customWidth="1"/>
    <col min="10" max="10" width="20.42578125" style="298" bestFit="1" customWidth="1"/>
    <col min="11" max="11" width="21" style="298" bestFit="1" customWidth="1"/>
    <col min="12" max="16384" width="6.42578125" style="298"/>
  </cols>
  <sheetData>
    <row r="1" spans="1:11" ht="38.450000000000003">
      <c r="A1" s="294" t="s">
        <v>75</v>
      </c>
      <c r="B1" s="285" t="s">
        <v>76</v>
      </c>
      <c r="C1" s="285" t="s">
        <v>140</v>
      </c>
      <c r="D1" s="295" t="s">
        <v>77</v>
      </c>
      <c r="E1" s="285" t="s">
        <v>78</v>
      </c>
      <c r="F1" s="285" t="s">
        <v>141</v>
      </c>
      <c r="G1" s="296" t="s">
        <v>142</v>
      </c>
      <c r="H1" s="296" t="s">
        <v>143</v>
      </c>
      <c r="I1" s="297" t="s">
        <v>144</v>
      </c>
      <c r="J1" s="295" t="s">
        <v>145</v>
      </c>
      <c r="K1" s="295" t="s">
        <v>146</v>
      </c>
    </row>
    <row r="2" spans="1:11" ht="96">
      <c r="A2" s="299">
        <v>1</v>
      </c>
      <c r="B2" s="300"/>
      <c r="C2" s="301" t="s">
        <v>147</v>
      </c>
      <c r="D2" s="302"/>
      <c r="E2" s="303" t="s">
        <v>148</v>
      </c>
      <c r="F2" s="304"/>
      <c r="G2" s="305"/>
      <c r="H2" s="306"/>
      <c r="I2" s="307"/>
      <c r="J2" s="308"/>
      <c r="K2" s="308"/>
    </row>
    <row r="3" spans="1:11" ht="134.44999999999999">
      <c r="A3" s="299">
        <v>2</v>
      </c>
      <c r="B3" s="300"/>
      <c r="C3" s="301" t="s">
        <v>147</v>
      </c>
      <c r="D3" s="302"/>
      <c r="E3" s="309" t="s">
        <v>149</v>
      </c>
      <c r="F3" s="304"/>
      <c r="G3" s="305"/>
      <c r="H3" s="305"/>
      <c r="I3" s="307"/>
      <c r="J3" s="308"/>
      <c r="K3" s="308"/>
    </row>
    <row r="4" spans="1:11" ht="38.450000000000003">
      <c r="A4" s="310">
        <v>3</v>
      </c>
      <c r="B4" s="300"/>
      <c r="C4" s="301" t="s">
        <v>147</v>
      </c>
      <c r="D4" s="302"/>
      <c r="E4" s="309" t="s">
        <v>150</v>
      </c>
      <c r="F4" s="304"/>
      <c r="G4" s="305"/>
      <c r="H4" s="305"/>
      <c r="I4" s="307"/>
      <c r="J4" s="311"/>
      <c r="K4" s="311"/>
    </row>
    <row r="5" spans="1:11" ht="64.150000000000006">
      <c r="A5" s="299">
        <v>4</v>
      </c>
      <c r="B5" s="300"/>
      <c r="C5" s="301" t="s">
        <v>147</v>
      </c>
      <c r="D5" s="302"/>
      <c r="E5" s="290" t="s">
        <v>151</v>
      </c>
      <c r="F5" s="304"/>
      <c r="G5" s="305"/>
      <c r="H5" s="305"/>
      <c r="I5" s="307"/>
      <c r="J5" s="308"/>
      <c r="K5" s="308"/>
    </row>
    <row r="6" spans="1:11" ht="230.45">
      <c r="A6" s="299">
        <v>5</v>
      </c>
      <c r="B6" s="300"/>
      <c r="C6" s="301" t="s">
        <v>147</v>
      </c>
      <c r="D6" s="302"/>
      <c r="E6" s="312" t="s">
        <v>152</v>
      </c>
      <c r="F6" s="304"/>
      <c r="G6" s="305"/>
      <c r="H6" s="305"/>
      <c r="I6" s="307"/>
      <c r="J6" s="308"/>
      <c r="K6" s="308"/>
    </row>
    <row r="7" spans="1:11" ht="192">
      <c r="A7" s="310">
        <v>6</v>
      </c>
      <c r="B7" s="300"/>
      <c r="C7" s="301" t="s">
        <v>147</v>
      </c>
      <c r="D7" s="302"/>
      <c r="E7" s="313" t="s">
        <v>153</v>
      </c>
      <c r="F7" s="304"/>
      <c r="G7" s="305"/>
      <c r="H7" s="305"/>
      <c r="I7" s="307"/>
      <c r="J7" s="308"/>
      <c r="K7" s="308"/>
    </row>
    <row r="8" spans="1:11" ht="38.450000000000003">
      <c r="A8" s="299">
        <v>8</v>
      </c>
      <c r="B8" s="300"/>
      <c r="C8" s="301" t="s">
        <v>154</v>
      </c>
      <c r="D8" s="302"/>
      <c r="E8" s="314" t="s">
        <v>155</v>
      </c>
      <c r="F8" s="304"/>
      <c r="G8" s="305"/>
      <c r="H8" s="305"/>
      <c r="I8" s="315"/>
      <c r="J8" s="316"/>
      <c r="K8" s="316"/>
    </row>
    <row r="9" spans="1:11" ht="38.450000000000003">
      <c r="A9" s="310">
        <v>9</v>
      </c>
      <c r="B9" s="300"/>
      <c r="C9" s="301" t="s">
        <v>154</v>
      </c>
      <c r="D9" s="302"/>
      <c r="E9" s="314" t="s">
        <v>156</v>
      </c>
      <c r="F9" s="304"/>
      <c r="G9" s="305"/>
      <c r="H9" s="305"/>
      <c r="I9" s="307"/>
      <c r="J9" s="308"/>
      <c r="K9" s="308"/>
    </row>
    <row r="10" spans="1:11" ht="38.450000000000003">
      <c r="A10" s="299">
        <v>10</v>
      </c>
      <c r="B10" s="300"/>
      <c r="C10" s="301" t="s">
        <v>154</v>
      </c>
      <c r="D10" s="302"/>
      <c r="E10" s="317" t="s">
        <v>157</v>
      </c>
      <c r="F10" s="304"/>
      <c r="G10" s="305"/>
      <c r="H10" s="305"/>
      <c r="I10" s="307"/>
      <c r="J10" s="308"/>
      <c r="K10" s="308"/>
    </row>
    <row r="11" spans="1:11" ht="76.900000000000006">
      <c r="A11" s="310">
        <v>11</v>
      </c>
      <c r="B11" s="300"/>
      <c r="C11" s="301" t="s">
        <v>154</v>
      </c>
      <c r="D11" s="302"/>
      <c r="E11" s="318" t="s">
        <v>158</v>
      </c>
      <c r="F11" s="304"/>
      <c r="G11" s="305"/>
      <c r="H11" s="305"/>
      <c r="I11" s="307"/>
      <c r="J11" s="308"/>
      <c r="K11" s="308"/>
    </row>
    <row r="12" spans="1:11" ht="96">
      <c r="A12" s="310">
        <v>12</v>
      </c>
      <c r="B12" s="300"/>
      <c r="C12" s="301" t="s">
        <v>159</v>
      </c>
      <c r="D12" s="302" t="s">
        <v>160</v>
      </c>
      <c r="E12" s="309" t="s">
        <v>161</v>
      </c>
      <c r="F12" s="304"/>
      <c r="G12" s="305"/>
      <c r="H12" s="305"/>
      <c r="I12" s="319"/>
      <c r="J12" s="304"/>
      <c r="K12" s="299"/>
    </row>
    <row r="13" spans="1:11" ht="96">
      <c r="A13" s="310">
        <v>13</v>
      </c>
      <c r="B13" s="300"/>
      <c r="C13" s="301" t="s">
        <v>159</v>
      </c>
      <c r="D13" s="302" t="s">
        <v>160</v>
      </c>
      <c r="E13" s="309" t="s">
        <v>162</v>
      </c>
      <c r="F13" s="304"/>
      <c r="G13" s="305"/>
      <c r="H13" s="305"/>
      <c r="I13" s="319"/>
      <c r="J13" s="304"/>
      <c r="K13" s="299"/>
    </row>
  </sheetData>
  <protectedRanges>
    <protectedRange password="C6D0" sqref="G1:H1" name="Date and Start Time_8_1_2_1_5_2_1" securityDescriptor="O:WDG:WDD:(A;;CC;;;S-1-5-21-53694668-648618266-1194094237-263271)"/>
  </protectedRanges>
  <conditionalFormatting sqref="B1:C1">
    <cfRule type="cellIs" dxfId="40" priority="1" stopIfTrue="1" operator="equal">
      <formula>"Completed"</formula>
    </cfRule>
    <cfRule type="cellIs" dxfId="39" priority="2" stopIfTrue="1" operator="equal">
      <formula>"In Progress"</formula>
    </cfRule>
    <cfRule type="cellIs" dxfId="38" priority="3" stopIfTrue="1" operator="equal">
      <formula>"Delayed"</formula>
    </cfRule>
  </conditionalFormatting>
  <pageMargins left="0.7" right="0.7" top="0.75" bottom="0.75" header="0.3" footer="0.3"/>
  <pageSetup orientation="portrait"/>
  <headerFooter>
    <oddFooter>&amp;C&amp;1#&amp;"Arial"&amp;7&amp;K000000Sensitivity: Internal &amp; Restricted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A93B9-247B-4935-A190-962D5751F158}">
  <dimension ref="A1:M17"/>
  <sheetViews>
    <sheetView zoomScale="90" zoomScaleNormal="90" workbookViewId="0">
      <selection activeCell="E5" sqref="E5"/>
    </sheetView>
  </sheetViews>
  <sheetFormatPr defaultColWidth="9.28515625" defaultRowHeight="19.149999999999999"/>
  <cols>
    <col min="1" max="1" width="7.5703125" style="320" bestFit="1" customWidth="1"/>
    <col min="2" max="2" width="13.5703125" style="298" bestFit="1" customWidth="1"/>
    <col min="3" max="3" width="14.7109375" style="348" customWidth="1"/>
    <col min="4" max="4" width="15.7109375" style="349" bestFit="1" customWidth="1"/>
    <col min="5" max="5" width="65.7109375" style="320" bestFit="1" customWidth="1"/>
    <col min="6" max="6" width="18.28515625" style="320" bestFit="1" customWidth="1"/>
    <col min="7" max="7" width="17" style="320" bestFit="1" customWidth="1"/>
    <col min="8" max="8" width="15.85546875" style="320" bestFit="1" customWidth="1"/>
    <col min="9" max="9" width="22.28515625" style="298" bestFit="1" customWidth="1"/>
    <col min="10" max="10" width="22.140625" style="298" bestFit="1" customWidth="1"/>
    <col min="11" max="11" width="13.28515625" style="298" bestFit="1" customWidth="1"/>
    <col min="12" max="16384" width="9.28515625" style="298"/>
  </cols>
  <sheetData>
    <row r="1" spans="1:13" ht="38.450000000000003">
      <c r="A1" s="322" t="s">
        <v>75</v>
      </c>
      <c r="B1" s="287" t="s">
        <v>76</v>
      </c>
      <c r="C1" s="287" t="s">
        <v>163</v>
      </c>
      <c r="D1" s="323" t="s">
        <v>77</v>
      </c>
      <c r="E1" s="324" t="s">
        <v>78</v>
      </c>
      <c r="F1" s="325" t="s">
        <v>141</v>
      </c>
      <c r="G1" s="326" t="s">
        <v>164</v>
      </c>
      <c r="H1" s="327" t="s">
        <v>143</v>
      </c>
      <c r="I1" s="287" t="s">
        <v>165</v>
      </c>
      <c r="J1" s="287" t="s">
        <v>85</v>
      </c>
      <c r="K1" s="287" t="s">
        <v>166</v>
      </c>
    </row>
    <row r="2" spans="1:13" ht="38.450000000000003">
      <c r="A2" s="328">
        <v>1</v>
      </c>
      <c r="B2" s="329"/>
      <c r="C2" s="383" t="s">
        <v>167</v>
      </c>
      <c r="D2" s="330" t="s">
        <v>160</v>
      </c>
      <c r="E2" s="331" t="s">
        <v>168</v>
      </c>
      <c r="F2" s="332"/>
      <c r="G2" s="305"/>
      <c r="H2" s="305"/>
      <c r="I2" s="333"/>
      <c r="J2" s="334"/>
      <c r="K2" s="335"/>
    </row>
    <row r="3" spans="1:13">
      <c r="A3" s="328">
        <v>2</v>
      </c>
      <c r="B3" s="329"/>
      <c r="C3" s="384"/>
      <c r="D3" s="330" t="s">
        <v>160</v>
      </c>
      <c r="E3" s="331" t="s">
        <v>169</v>
      </c>
      <c r="F3" s="332"/>
      <c r="G3" s="305"/>
      <c r="H3" s="305"/>
      <c r="I3" s="333"/>
      <c r="J3" s="334"/>
      <c r="K3" s="335"/>
    </row>
    <row r="4" spans="1:13" s="338" customFormat="1" ht="38.450000000000003">
      <c r="A4" s="328">
        <v>3</v>
      </c>
      <c r="B4" s="329"/>
      <c r="C4" s="384" t="s">
        <v>170</v>
      </c>
      <c r="D4" s="330" t="s">
        <v>160</v>
      </c>
      <c r="E4" s="331" t="s">
        <v>171</v>
      </c>
      <c r="F4" s="332"/>
      <c r="G4" s="336"/>
      <c r="H4" s="336"/>
      <c r="I4" s="333"/>
      <c r="J4" s="337"/>
      <c r="K4" s="335"/>
      <c r="L4" s="298"/>
      <c r="M4" s="298"/>
    </row>
    <row r="5" spans="1:13" ht="38.450000000000003">
      <c r="A5" s="328">
        <v>4</v>
      </c>
      <c r="B5" s="329"/>
      <c r="C5" s="384"/>
      <c r="D5" s="330" t="s">
        <v>160</v>
      </c>
      <c r="E5" s="331" t="s">
        <v>172</v>
      </c>
      <c r="F5" s="332"/>
      <c r="G5" s="336"/>
      <c r="H5" s="336"/>
      <c r="I5" s="333"/>
      <c r="J5" s="339"/>
      <c r="K5" s="339"/>
    </row>
    <row r="6" spans="1:13">
      <c r="A6" s="328">
        <v>5</v>
      </c>
      <c r="B6" s="329"/>
      <c r="C6" s="384"/>
      <c r="D6" s="330"/>
      <c r="E6" s="331" t="s">
        <v>173</v>
      </c>
      <c r="F6" s="332"/>
      <c r="G6" s="336"/>
      <c r="H6" s="336"/>
      <c r="I6" s="333"/>
      <c r="J6" s="335"/>
      <c r="K6" s="335"/>
    </row>
    <row r="7" spans="1:13" ht="38.450000000000003">
      <c r="A7" s="328">
        <v>6</v>
      </c>
      <c r="B7" s="329"/>
      <c r="C7" s="384"/>
      <c r="D7" s="330" t="s">
        <v>160</v>
      </c>
      <c r="E7" s="331" t="s">
        <v>174</v>
      </c>
      <c r="F7" s="332"/>
      <c r="G7" s="336"/>
      <c r="H7" s="336"/>
      <c r="I7" s="333"/>
      <c r="J7" s="335"/>
      <c r="K7" s="335"/>
    </row>
    <row r="8" spans="1:13" ht="38.450000000000003">
      <c r="A8" s="328">
        <v>7</v>
      </c>
      <c r="B8" s="329"/>
      <c r="C8" s="384"/>
      <c r="D8" s="330" t="s">
        <v>160</v>
      </c>
      <c r="E8" s="331" t="s">
        <v>175</v>
      </c>
      <c r="F8" s="332"/>
      <c r="G8" s="336"/>
      <c r="H8" s="336"/>
      <c r="I8" s="333"/>
      <c r="J8" s="335"/>
      <c r="K8" s="335"/>
    </row>
    <row r="9" spans="1:13" ht="38.450000000000003">
      <c r="A9" s="328">
        <v>8</v>
      </c>
      <c r="B9" s="329"/>
      <c r="C9" s="384"/>
      <c r="D9" s="330" t="s">
        <v>160</v>
      </c>
      <c r="E9" s="331" t="s">
        <v>176</v>
      </c>
      <c r="F9" s="332"/>
      <c r="G9" s="336"/>
      <c r="H9" s="336"/>
      <c r="I9" s="333"/>
      <c r="J9" s="335"/>
      <c r="K9" s="335"/>
    </row>
    <row r="10" spans="1:13">
      <c r="A10" s="328">
        <v>9</v>
      </c>
      <c r="B10" s="329"/>
      <c r="C10" s="384"/>
      <c r="D10" s="330" t="s">
        <v>160</v>
      </c>
      <c r="E10" s="331" t="s">
        <v>177</v>
      </c>
      <c r="F10" s="332"/>
      <c r="G10" s="336"/>
      <c r="H10" s="336"/>
      <c r="I10" s="333"/>
      <c r="J10" s="340"/>
      <c r="K10" s="335"/>
      <c r="L10" s="341"/>
      <c r="M10" s="341"/>
    </row>
    <row r="11" spans="1:13" s="338" customFormat="1">
      <c r="A11" s="328">
        <v>10</v>
      </c>
      <c r="B11" s="329"/>
      <c r="C11" s="384"/>
      <c r="D11" s="330" t="s">
        <v>160</v>
      </c>
      <c r="E11" s="331" t="s">
        <v>178</v>
      </c>
      <c r="F11" s="332"/>
      <c r="G11" s="336"/>
      <c r="H11" s="336"/>
      <c r="I11" s="337"/>
      <c r="J11" s="342"/>
      <c r="K11" s="335"/>
    </row>
    <row r="12" spans="1:13">
      <c r="A12" s="328">
        <v>11</v>
      </c>
      <c r="B12" s="329"/>
      <c r="C12" s="384"/>
      <c r="D12" s="330" t="s">
        <v>160</v>
      </c>
      <c r="E12" s="331" t="s">
        <v>179</v>
      </c>
      <c r="F12" s="332"/>
      <c r="G12" s="336"/>
      <c r="H12" s="336"/>
      <c r="I12" s="337"/>
      <c r="J12" s="343"/>
      <c r="K12" s="343"/>
    </row>
    <row r="13" spans="1:13" ht="38.450000000000003">
      <c r="A13" s="328">
        <v>12</v>
      </c>
      <c r="B13" s="329"/>
      <c r="C13" s="384"/>
      <c r="D13" s="330" t="s">
        <v>160</v>
      </c>
      <c r="E13" s="331" t="s">
        <v>180</v>
      </c>
      <c r="F13" s="332"/>
      <c r="G13" s="336"/>
      <c r="H13" s="336"/>
      <c r="I13" s="344"/>
      <c r="J13" s="343"/>
      <c r="K13" s="343"/>
    </row>
    <row r="14" spans="1:13">
      <c r="A14" s="328">
        <v>13</v>
      </c>
      <c r="B14" s="329"/>
      <c r="C14" s="384"/>
      <c r="D14" s="330" t="s">
        <v>160</v>
      </c>
      <c r="E14" s="331" t="s">
        <v>181</v>
      </c>
      <c r="F14" s="332"/>
      <c r="G14" s="345"/>
      <c r="H14" s="345"/>
      <c r="I14" s="337"/>
      <c r="J14" s="335"/>
      <c r="K14" s="335"/>
    </row>
    <row r="15" spans="1:13" ht="38.450000000000003">
      <c r="A15" s="328">
        <v>14</v>
      </c>
      <c r="B15" s="329"/>
      <c r="C15" s="384"/>
      <c r="D15" s="330" t="s">
        <v>160</v>
      </c>
      <c r="E15" s="331" t="s">
        <v>182</v>
      </c>
      <c r="F15" s="332"/>
      <c r="G15" s="345"/>
      <c r="H15" s="345"/>
      <c r="I15" s="337"/>
      <c r="J15" s="335"/>
      <c r="K15" s="335"/>
    </row>
    <row r="16" spans="1:13">
      <c r="A16" s="328">
        <v>15</v>
      </c>
      <c r="B16" s="329"/>
      <c r="C16" s="384"/>
      <c r="D16" s="330" t="s">
        <v>160</v>
      </c>
      <c r="E16" s="331" t="s">
        <v>183</v>
      </c>
      <c r="F16" s="332"/>
      <c r="G16" s="345"/>
      <c r="H16" s="345"/>
      <c r="I16" s="337"/>
      <c r="J16" s="335"/>
      <c r="K16" s="335"/>
    </row>
    <row r="17" spans="1:11" ht="38.450000000000003">
      <c r="A17" s="328">
        <v>16</v>
      </c>
      <c r="B17" s="335"/>
      <c r="C17" s="346"/>
      <c r="D17" s="347" t="s">
        <v>160</v>
      </c>
      <c r="E17" s="331" t="s">
        <v>184</v>
      </c>
      <c r="F17" s="332"/>
      <c r="G17" s="345"/>
      <c r="H17" s="345"/>
      <c r="I17" s="337"/>
      <c r="J17" s="335"/>
      <c r="K17" s="335"/>
    </row>
  </sheetData>
  <autoFilter ref="A1:K1" xr:uid="{ED9A93B9-247B-4935-A190-962D5751F158}"/>
  <mergeCells count="2">
    <mergeCell ref="C2:C3"/>
    <mergeCell ref="C4:C16"/>
  </mergeCells>
  <conditionalFormatting sqref="B1:C1">
    <cfRule type="cellIs" dxfId="37" priority="1" stopIfTrue="1" operator="equal">
      <formula>"Completed"</formula>
    </cfRule>
    <cfRule type="cellIs" dxfId="36" priority="2" stopIfTrue="1" operator="equal">
      <formula>"In Progress"</formula>
    </cfRule>
    <cfRule type="cellIs" dxfId="35" priority="3" stopIfTrue="1" operator="equal">
      <formula>"Delayed"</formula>
    </cfRule>
  </conditionalFormatting>
  <dataValidations disablePrompts="1" count="1">
    <dataValidation type="list" allowBlank="1" showInputMessage="1" showErrorMessage="1" sqref="B11" xr:uid="{49E2D3A2-0F0D-4ECB-A4DB-4D1100AF5BAF}">
      <formula1>"Pending, In Progress, Completed, Delayed, N/A"</formula1>
    </dataValidation>
  </dataValidations>
  <pageMargins left="0.7" right="0.7" top="0.75" bottom="0.75" header="0.3" footer="0.3"/>
  <pageSetup orientation="portrait"/>
  <headerFooter>
    <oddFooter>&amp;C&amp;1#&amp;"Arial"&amp;7&amp;K000000Sensitivity: Internal &amp; Restricted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1"/>
  <sheetViews>
    <sheetView zoomScale="80" zoomScaleNormal="80" workbookViewId="0"/>
  </sheetViews>
  <sheetFormatPr defaultColWidth="9.28515625" defaultRowHeight="13.15"/>
  <cols>
    <col min="1" max="1" width="4.5703125" style="17" bestFit="1" customWidth="1"/>
    <col min="2" max="2" width="6.7109375" style="17" bestFit="1" customWidth="1"/>
    <col min="3" max="3" width="36.28515625" style="42" bestFit="1" customWidth="1"/>
    <col min="4" max="4" width="101.28515625" style="42" customWidth="1"/>
    <col min="5" max="5" width="21.42578125" style="42" bestFit="1" customWidth="1"/>
    <col min="6" max="7" width="13.28515625" style="42" customWidth="1"/>
    <col min="8" max="8" width="14.28515625" style="17" bestFit="1" customWidth="1"/>
    <col min="9" max="9" width="13.5703125" style="17" bestFit="1" customWidth="1"/>
    <col min="10" max="10" width="6.5703125" style="17" bestFit="1" customWidth="1"/>
    <col min="11" max="12" width="9.28515625" style="17"/>
    <col min="13" max="13" width="1.42578125" style="17" bestFit="1" customWidth="1"/>
    <col min="14" max="16384" width="9.28515625" style="17"/>
  </cols>
  <sheetData>
    <row r="1" spans="1:13">
      <c r="A1" s="133" t="s">
        <v>5</v>
      </c>
      <c r="B1" s="87"/>
      <c r="C1" s="87"/>
    </row>
    <row r="2" spans="1:13" ht="26.45">
      <c r="A2" s="127" t="s">
        <v>75</v>
      </c>
      <c r="B2" s="124" t="s">
        <v>76</v>
      </c>
      <c r="C2" s="128" t="s">
        <v>77</v>
      </c>
      <c r="D2" s="124" t="s">
        <v>78</v>
      </c>
      <c r="E2" s="124" t="s">
        <v>185</v>
      </c>
      <c r="F2" s="129" t="s">
        <v>82</v>
      </c>
      <c r="G2" s="126" t="s">
        <v>83</v>
      </c>
      <c r="H2" s="124" t="s">
        <v>165</v>
      </c>
      <c r="I2" s="124" t="s">
        <v>85</v>
      </c>
      <c r="J2" s="124" t="s">
        <v>166</v>
      </c>
    </row>
    <row r="3" spans="1:13">
      <c r="A3" s="43"/>
      <c r="B3" s="21"/>
      <c r="C3" s="44"/>
      <c r="D3" s="44" t="s">
        <v>186</v>
      </c>
      <c r="E3" s="44"/>
      <c r="F3" s="44"/>
      <c r="G3" s="44"/>
      <c r="H3" s="44"/>
      <c r="I3" s="21"/>
      <c r="J3" s="21"/>
      <c r="M3" s="17" t="s">
        <v>30</v>
      </c>
    </row>
    <row r="4" spans="1:13">
      <c r="A4" s="37">
        <v>1</v>
      </c>
      <c r="B4" s="26"/>
      <c r="C4" s="37" t="s">
        <v>122</v>
      </c>
      <c r="D4" s="143" t="s">
        <v>187</v>
      </c>
      <c r="E4" s="62" t="s">
        <v>89</v>
      </c>
      <c r="F4" s="119">
        <v>44468.333333333336</v>
      </c>
      <c r="G4" s="119">
        <f>(F4+H4/1440)</f>
        <v>44468.340277777781</v>
      </c>
      <c r="H4" s="45">
        <v>10</v>
      </c>
      <c r="I4" s="46"/>
      <c r="J4" s="46"/>
    </row>
    <row r="5" spans="1:13" ht="39.6">
      <c r="A5" s="37">
        <v>2</v>
      </c>
      <c r="B5" s="26"/>
      <c r="C5" s="40" t="s">
        <v>188</v>
      </c>
      <c r="D5" s="143" t="s">
        <v>189</v>
      </c>
      <c r="E5" s="62" t="s">
        <v>89</v>
      </c>
      <c r="F5" s="119">
        <f>G4</f>
        <v>44468.340277777781</v>
      </c>
      <c r="G5" s="119">
        <f>(F5+H5/1440)</f>
        <v>44468.347222222226</v>
      </c>
      <c r="H5" s="45">
        <v>10</v>
      </c>
      <c r="I5" s="38"/>
      <c r="J5" s="38"/>
    </row>
    <row r="6" spans="1:13">
      <c r="A6" s="37">
        <v>3</v>
      </c>
      <c r="B6" s="26"/>
      <c r="C6" s="37" t="s">
        <v>190</v>
      </c>
      <c r="D6" s="143" t="s">
        <v>191</v>
      </c>
      <c r="E6" s="62" t="s">
        <v>89</v>
      </c>
      <c r="F6" s="119">
        <f>G5</f>
        <v>44468.347222222226</v>
      </c>
      <c r="G6" s="119">
        <f>(F6+H6/1440)</f>
        <v>44468.354166666672</v>
      </c>
      <c r="H6" s="45">
        <v>10</v>
      </c>
      <c r="I6" s="38"/>
      <c r="J6" s="38"/>
    </row>
    <row r="7" spans="1:13">
      <c r="A7" s="37">
        <v>4</v>
      </c>
      <c r="B7" s="26"/>
      <c r="C7" s="39" t="s">
        <v>103</v>
      </c>
      <c r="D7" s="144" t="s">
        <v>192</v>
      </c>
      <c r="E7" s="62" t="s">
        <v>89</v>
      </c>
      <c r="F7" s="119">
        <f>G6</f>
        <v>44468.354166666672</v>
      </c>
      <c r="G7" s="119">
        <f>(F7+H7/1440)</f>
        <v>44468.361111111117</v>
      </c>
      <c r="H7" s="45">
        <v>10</v>
      </c>
      <c r="I7" s="62"/>
      <c r="J7" s="38"/>
    </row>
    <row r="8" spans="1:13">
      <c r="A8" s="21"/>
      <c r="B8" s="21"/>
      <c r="C8" s="44"/>
      <c r="D8" s="44" t="s">
        <v>193</v>
      </c>
      <c r="E8" s="44"/>
      <c r="F8" s="44"/>
      <c r="G8" s="47"/>
      <c r="H8" s="47"/>
      <c r="I8" s="21"/>
      <c r="J8" s="21"/>
    </row>
    <row r="9" spans="1:13" s="48" customFormat="1">
      <c r="A9" s="37">
        <v>5</v>
      </c>
      <c r="B9" s="34"/>
      <c r="C9" s="30" t="s">
        <v>194</v>
      </c>
      <c r="D9" s="145" t="s">
        <v>195</v>
      </c>
      <c r="E9" s="62" t="s">
        <v>89</v>
      </c>
      <c r="F9" s="119">
        <f>G7</f>
        <v>44468.361111111117</v>
      </c>
      <c r="G9" s="119">
        <f>(F9+H9/1440)</f>
        <v>44468.364583333336</v>
      </c>
      <c r="H9" s="61">
        <v>5</v>
      </c>
      <c r="I9" s="25"/>
      <c r="J9" s="38"/>
      <c r="K9" s="17"/>
      <c r="L9" s="17"/>
    </row>
    <row r="10" spans="1:13" s="48" customFormat="1">
      <c r="A10" s="37">
        <v>6</v>
      </c>
      <c r="B10" s="34"/>
      <c r="C10" s="30" t="s">
        <v>196</v>
      </c>
      <c r="D10" s="145" t="s">
        <v>197</v>
      </c>
      <c r="E10" s="62" t="s">
        <v>89</v>
      </c>
      <c r="F10" s="119">
        <f>G9</f>
        <v>44468.364583333336</v>
      </c>
      <c r="G10" s="119">
        <f>(F10+H10/1440)</f>
        <v>44468.368055555555</v>
      </c>
      <c r="H10" s="61">
        <v>5</v>
      </c>
      <c r="I10" s="25"/>
      <c r="J10" s="38"/>
      <c r="K10" s="17"/>
      <c r="L10" s="17"/>
    </row>
    <row r="11" spans="1:13">
      <c r="A11" s="21"/>
      <c r="B11" s="21"/>
      <c r="C11" s="44"/>
      <c r="D11" s="44" t="s">
        <v>198</v>
      </c>
      <c r="E11" s="44"/>
      <c r="F11" s="44"/>
      <c r="G11" s="47"/>
      <c r="H11" s="47"/>
      <c r="I11" s="21"/>
      <c r="J11" s="21"/>
    </row>
    <row r="12" spans="1:13">
      <c r="A12" s="37">
        <v>7</v>
      </c>
      <c r="B12" s="26"/>
      <c r="C12" s="37" t="s">
        <v>188</v>
      </c>
      <c r="D12" s="143" t="s">
        <v>199</v>
      </c>
      <c r="E12" s="62" t="s">
        <v>89</v>
      </c>
      <c r="F12" s="119">
        <f>G10</f>
        <v>44468.368055555555</v>
      </c>
      <c r="G12" s="119">
        <f>(F12+H12/1440)</f>
        <v>44468.375</v>
      </c>
      <c r="H12" s="61">
        <v>10</v>
      </c>
      <c r="I12" s="38"/>
      <c r="J12" s="38"/>
    </row>
    <row r="13" spans="1:13" ht="26.45">
      <c r="A13" s="37">
        <v>8</v>
      </c>
      <c r="B13" s="26"/>
      <c r="C13" s="57" t="s">
        <v>92</v>
      </c>
      <c r="D13" s="143" t="s">
        <v>200</v>
      </c>
      <c r="E13" s="62" t="s">
        <v>89</v>
      </c>
      <c r="F13" s="119">
        <f>G12</f>
        <v>44468.375</v>
      </c>
      <c r="G13" s="119">
        <f>(F13+H13/1440)</f>
        <v>44468.381944444445</v>
      </c>
      <c r="H13" s="61">
        <v>10</v>
      </c>
      <c r="I13" s="38"/>
      <c r="J13" s="38"/>
    </row>
    <row r="14" spans="1:13">
      <c r="A14" s="37">
        <v>9</v>
      </c>
      <c r="B14" s="29"/>
      <c r="C14" s="37" t="s">
        <v>103</v>
      </c>
      <c r="D14" s="143" t="s">
        <v>201</v>
      </c>
      <c r="E14" s="62" t="s">
        <v>89</v>
      </c>
      <c r="F14" s="119">
        <f>G13</f>
        <v>44468.381944444445</v>
      </c>
      <c r="G14" s="119">
        <f>(F14+H14/1440)</f>
        <v>44468.388888888891</v>
      </c>
      <c r="H14" s="61">
        <v>10</v>
      </c>
      <c r="I14" s="49"/>
      <c r="J14" s="38"/>
      <c r="K14" s="58"/>
      <c r="L14" s="58"/>
    </row>
    <row r="15" spans="1:13">
      <c r="A15" s="37">
        <v>10</v>
      </c>
      <c r="B15" s="146"/>
      <c r="C15" s="37" t="s">
        <v>103</v>
      </c>
      <c r="D15" s="138" t="s">
        <v>202</v>
      </c>
      <c r="E15" s="62" t="s">
        <v>89</v>
      </c>
      <c r="F15" s="119">
        <f t="shared" ref="F15:F31" si="0">G14</f>
        <v>44468.388888888891</v>
      </c>
      <c r="G15" s="119">
        <f t="shared" ref="G15:G31" si="1">(F15+H15/1440)</f>
        <v>44468.402777777781</v>
      </c>
      <c r="H15" s="45">
        <v>20</v>
      </c>
      <c r="I15" s="36"/>
      <c r="J15" s="38"/>
    </row>
    <row r="16" spans="1:13">
      <c r="A16" s="37">
        <v>11</v>
      </c>
      <c r="B16" s="146"/>
      <c r="C16" s="37" t="s">
        <v>103</v>
      </c>
      <c r="D16" s="143" t="s">
        <v>203</v>
      </c>
      <c r="E16" s="62" t="s">
        <v>89</v>
      </c>
      <c r="F16" s="119">
        <f t="shared" si="0"/>
        <v>44468.402777777781</v>
      </c>
      <c r="G16" s="119">
        <f t="shared" si="1"/>
        <v>44468.40625</v>
      </c>
      <c r="H16" s="45">
        <v>5</v>
      </c>
      <c r="I16" s="36"/>
      <c r="J16" s="38"/>
    </row>
    <row r="17" spans="1:10">
      <c r="A17" s="37">
        <v>12</v>
      </c>
      <c r="B17" s="146"/>
      <c r="C17" s="37"/>
      <c r="D17" s="143" t="s">
        <v>204</v>
      </c>
      <c r="E17" s="62" t="s">
        <v>89</v>
      </c>
      <c r="F17" s="119">
        <f t="shared" si="0"/>
        <v>44468.40625</v>
      </c>
      <c r="G17" s="119">
        <f t="shared" si="1"/>
        <v>44468.409722222219</v>
      </c>
      <c r="H17" s="45">
        <v>5</v>
      </c>
      <c r="I17" s="36"/>
      <c r="J17" s="38"/>
    </row>
    <row r="18" spans="1:10">
      <c r="A18" s="37">
        <v>13</v>
      </c>
      <c r="B18" s="34"/>
      <c r="C18" s="37" t="s">
        <v>103</v>
      </c>
      <c r="D18" s="143" t="s">
        <v>205</v>
      </c>
      <c r="E18" s="62" t="s">
        <v>89</v>
      </c>
      <c r="F18" s="119">
        <f t="shared" si="0"/>
        <v>44468.409722222219</v>
      </c>
      <c r="G18" s="119">
        <f t="shared" si="1"/>
        <v>44468.416666666664</v>
      </c>
      <c r="H18" s="51">
        <v>10</v>
      </c>
      <c r="I18" s="26"/>
      <c r="J18" s="26"/>
    </row>
    <row r="19" spans="1:10">
      <c r="A19" s="37">
        <v>14</v>
      </c>
      <c r="B19" s="34"/>
      <c r="C19" s="37" t="s">
        <v>103</v>
      </c>
      <c r="D19" s="143" t="s">
        <v>206</v>
      </c>
      <c r="E19" s="62" t="s">
        <v>89</v>
      </c>
      <c r="F19" s="119">
        <f t="shared" si="0"/>
        <v>44468.416666666664</v>
      </c>
      <c r="G19" s="119">
        <f t="shared" si="1"/>
        <v>44468.420138888883</v>
      </c>
      <c r="H19" s="52">
        <v>5</v>
      </c>
      <c r="I19" s="26"/>
      <c r="J19" s="26"/>
    </row>
    <row r="20" spans="1:10">
      <c r="A20" s="37">
        <v>15</v>
      </c>
      <c r="B20" s="26"/>
      <c r="C20" s="37" t="s">
        <v>103</v>
      </c>
      <c r="D20" s="143" t="s">
        <v>207</v>
      </c>
      <c r="E20" s="62" t="s">
        <v>89</v>
      </c>
      <c r="F20" s="119">
        <f t="shared" si="0"/>
        <v>44468.420138888883</v>
      </c>
      <c r="G20" s="119">
        <f t="shared" si="1"/>
        <v>44468.427083333328</v>
      </c>
      <c r="H20" s="51">
        <v>10</v>
      </c>
      <c r="I20" s="41"/>
      <c r="J20" s="41"/>
    </row>
    <row r="21" spans="1:10">
      <c r="A21" s="37">
        <v>16</v>
      </c>
      <c r="B21" s="26"/>
      <c r="C21" s="37" t="s">
        <v>103</v>
      </c>
      <c r="D21" s="147" t="s">
        <v>208</v>
      </c>
      <c r="E21" s="62" t="s">
        <v>89</v>
      </c>
      <c r="F21" s="119">
        <f t="shared" si="0"/>
        <v>44468.427083333328</v>
      </c>
      <c r="G21" s="119">
        <f t="shared" si="1"/>
        <v>44468.434027777774</v>
      </c>
      <c r="H21" s="51">
        <v>10</v>
      </c>
      <c r="I21" s="41"/>
      <c r="J21" s="41"/>
    </row>
    <row r="22" spans="1:10">
      <c r="A22" s="37">
        <v>17</v>
      </c>
      <c r="B22" s="26"/>
      <c r="C22" s="37" t="s">
        <v>103</v>
      </c>
      <c r="D22" s="148" t="s">
        <v>209</v>
      </c>
      <c r="E22" s="62" t="s">
        <v>89</v>
      </c>
      <c r="F22" s="119">
        <f t="shared" si="0"/>
        <v>44468.434027777774</v>
      </c>
      <c r="G22" s="119">
        <f t="shared" si="1"/>
        <v>44468.440972222219</v>
      </c>
      <c r="H22" s="51">
        <v>10</v>
      </c>
      <c r="I22" s="62"/>
      <c r="J22" s="41"/>
    </row>
    <row r="23" spans="1:10">
      <c r="A23" s="37">
        <v>18</v>
      </c>
      <c r="B23" s="26"/>
      <c r="C23" s="37" t="s">
        <v>103</v>
      </c>
      <c r="D23" s="149" t="s">
        <v>210</v>
      </c>
      <c r="E23" s="62" t="s">
        <v>89</v>
      </c>
      <c r="F23" s="119">
        <f t="shared" si="0"/>
        <v>44468.440972222219</v>
      </c>
      <c r="G23" s="119">
        <f t="shared" si="1"/>
        <v>44468.447916666664</v>
      </c>
      <c r="H23" s="51">
        <v>10</v>
      </c>
      <c r="I23" s="41"/>
      <c r="J23" s="41"/>
    </row>
    <row r="24" spans="1:10">
      <c r="A24" s="37">
        <v>19</v>
      </c>
      <c r="B24" s="26"/>
      <c r="C24" s="37" t="s">
        <v>103</v>
      </c>
      <c r="D24" s="30" t="s">
        <v>211</v>
      </c>
      <c r="E24" s="62" t="s">
        <v>89</v>
      </c>
      <c r="F24" s="119">
        <f t="shared" si="0"/>
        <v>44468.447916666664</v>
      </c>
      <c r="G24" s="119">
        <f t="shared" si="1"/>
        <v>44468.454861111109</v>
      </c>
      <c r="H24" s="25">
        <v>10</v>
      </c>
      <c r="I24" s="41"/>
      <c r="J24" s="41"/>
    </row>
    <row r="25" spans="1:10">
      <c r="A25" s="37">
        <v>20</v>
      </c>
      <c r="B25" s="26"/>
      <c r="C25" s="59" t="s">
        <v>212</v>
      </c>
      <c r="D25" s="150" t="s">
        <v>213</v>
      </c>
      <c r="E25" s="62" t="s">
        <v>89</v>
      </c>
      <c r="F25" s="119">
        <f t="shared" si="0"/>
        <v>44468.454861111109</v>
      </c>
      <c r="G25" s="119">
        <f t="shared" si="1"/>
        <v>44468.461805555555</v>
      </c>
      <c r="H25" s="25">
        <v>10</v>
      </c>
      <c r="I25" s="41"/>
      <c r="J25" s="41"/>
    </row>
    <row r="26" spans="1:10">
      <c r="A26" s="37">
        <v>21</v>
      </c>
      <c r="B26" s="38"/>
      <c r="C26" s="60" t="s">
        <v>214</v>
      </c>
      <c r="D26" s="151" t="s">
        <v>215</v>
      </c>
      <c r="E26" s="62" t="s">
        <v>89</v>
      </c>
      <c r="F26" s="119">
        <f t="shared" si="0"/>
        <v>44468.461805555555</v>
      </c>
      <c r="G26" s="119">
        <f t="shared" si="1"/>
        <v>44468.46875</v>
      </c>
      <c r="H26" s="25">
        <v>10</v>
      </c>
      <c r="I26" s="38"/>
      <c r="J26" s="38"/>
    </row>
    <row r="27" spans="1:10" ht="39.6">
      <c r="A27" s="37">
        <v>22</v>
      </c>
      <c r="B27" s="38"/>
      <c r="C27" s="60" t="s">
        <v>216</v>
      </c>
      <c r="D27" s="138" t="s">
        <v>217</v>
      </c>
      <c r="E27" s="62" t="s">
        <v>89</v>
      </c>
      <c r="F27" s="119">
        <f t="shared" si="0"/>
        <v>44468.46875</v>
      </c>
      <c r="G27" s="119">
        <f t="shared" si="1"/>
        <v>44468.510416666664</v>
      </c>
      <c r="H27" s="25">
        <v>60</v>
      </c>
      <c r="I27" s="38"/>
      <c r="J27" s="38"/>
    </row>
    <row r="28" spans="1:10" ht="26.45">
      <c r="A28" s="37">
        <v>23</v>
      </c>
      <c r="B28" s="38"/>
      <c r="C28" s="60" t="s">
        <v>218</v>
      </c>
      <c r="D28" s="152" t="s">
        <v>219</v>
      </c>
      <c r="E28" s="62" t="s">
        <v>89</v>
      </c>
      <c r="F28" s="119">
        <f t="shared" si="0"/>
        <v>44468.510416666664</v>
      </c>
      <c r="G28" s="119">
        <f t="shared" si="1"/>
        <v>44468.517361111109</v>
      </c>
      <c r="H28" s="25">
        <v>10</v>
      </c>
      <c r="I28" s="38"/>
      <c r="J28" s="38"/>
    </row>
    <row r="29" spans="1:10">
      <c r="A29" s="37">
        <v>24</v>
      </c>
      <c r="B29" s="38"/>
      <c r="C29" s="153" t="s">
        <v>190</v>
      </c>
      <c r="D29" s="154" t="s">
        <v>220</v>
      </c>
      <c r="E29" s="62" t="s">
        <v>89</v>
      </c>
      <c r="F29" s="119">
        <f t="shared" si="0"/>
        <v>44468.517361111109</v>
      </c>
      <c r="G29" s="119">
        <f t="shared" si="1"/>
        <v>44468.524305555555</v>
      </c>
      <c r="H29" s="25">
        <v>10</v>
      </c>
      <c r="I29" s="38"/>
      <c r="J29" s="38"/>
    </row>
    <row r="30" spans="1:10">
      <c r="A30" s="37">
        <v>25</v>
      </c>
      <c r="B30" s="38"/>
      <c r="C30" s="50" t="s">
        <v>190</v>
      </c>
      <c r="D30" s="149" t="s">
        <v>221</v>
      </c>
      <c r="E30" s="62" t="s">
        <v>89</v>
      </c>
      <c r="F30" s="119">
        <f t="shared" si="0"/>
        <v>44468.524305555555</v>
      </c>
      <c r="G30" s="119">
        <f t="shared" si="1"/>
        <v>44468.53125</v>
      </c>
      <c r="H30" s="25">
        <v>10</v>
      </c>
      <c r="I30" s="38"/>
      <c r="J30" s="38"/>
    </row>
    <row r="31" spans="1:10">
      <c r="A31" s="37">
        <v>26</v>
      </c>
      <c r="B31" s="38"/>
      <c r="C31" s="37" t="s">
        <v>103</v>
      </c>
      <c r="D31" s="149" t="s">
        <v>222</v>
      </c>
      <c r="E31" s="62" t="s">
        <v>89</v>
      </c>
      <c r="F31" s="119">
        <f t="shared" si="0"/>
        <v>44468.53125</v>
      </c>
      <c r="G31" s="119">
        <f t="shared" si="1"/>
        <v>44468.538194444445</v>
      </c>
      <c r="H31" s="25">
        <v>10</v>
      </c>
      <c r="I31" s="38"/>
      <c r="J31" s="38"/>
    </row>
  </sheetData>
  <protectedRanges>
    <protectedRange password="C6D0" sqref="F8" name="Date and Start Time_8_1_2_1_1" securityDescriptor="O:WDG:WDD:(A;;CC;;;S-1-5-21-53694668-648618266-1194094237-263271)"/>
  </protectedRanges>
  <conditionalFormatting sqref="B2">
    <cfRule type="cellIs" dxfId="34" priority="19" stopIfTrue="1" operator="equal">
      <formula>"Completed"</formula>
    </cfRule>
    <cfRule type="cellIs" dxfId="33" priority="20" stopIfTrue="1" operator="equal">
      <formula>"In Progress"</formula>
    </cfRule>
    <cfRule type="cellIs" dxfId="32" priority="21" stopIfTrue="1" operator="equal">
      <formula>"Delayed"</formula>
    </cfRule>
  </conditionalFormatting>
  <conditionalFormatting sqref="B4:B7">
    <cfRule type="cellIs" dxfId="31" priority="10" stopIfTrue="1" operator="equal">
      <formula>"Completed"</formula>
    </cfRule>
    <cfRule type="cellIs" dxfId="30" priority="11" stopIfTrue="1" operator="equal">
      <formula>"In Progress"</formula>
    </cfRule>
    <cfRule type="cellIs" dxfId="29" priority="12" stopIfTrue="1" operator="equal">
      <formula>"Delayed"</formula>
    </cfRule>
  </conditionalFormatting>
  <conditionalFormatting sqref="B9:B10">
    <cfRule type="cellIs" dxfId="28" priority="1" stopIfTrue="1" operator="equal">
      <formula>"Completed"</formula>
    </cfRule>
    <cfRule type="cellIs" dxfId="27" priority="2" stopIfTrue="1" operator="equal">
      <formula>"In Progress"</formula>
    </cfRule>
    <cfRule type="cellIs" dxfId="26" priority="3" stopIfTrue="1" operator="equal">
      <formula>"Delayed"</formula>
    </cfRule>
  </conditionalFormatting>
  <conditionalFormatting sqref="B12:B24">
    <cfRule type="cellIs" dxfId="25" priority="16" stopIfTrue="1" operator="equal">
      <formula>"Completed"</formula>
    </cfRule>
    <cfRule type="cellIs" dxfId="24" priority="17" stopIfTrue="1" operator="equal">
      <formula>"In Progress"</formula>
    </cfRule>
    <cfRule type="cellIs" dxfId="23" priority="18" stopIfTrue="1" operator="equal">
      <formula>"Delayed"</formula>
    </cfRule>
  </conditionalFormatting>
  <conditionalFormatting sqref="B24:B25">
    <cfRule type="cellIs" dxfId="22" priority="4" stopIfTrue="1" operator="equal">
      <formula>"Completed"</formula>
    </cfRule>
    <cfRule type="cellIs" dxfId="21" priority="5" stopIfTrue="1" operator="equal">
      <formula>"In Progress"</formula>
    </cfRule>
    <cfRule type="cellIs" dxfId="20" priority="6" stopIfTrue="1" operator="equal">
      <formula>"Delayed"</formula>
    </cfRule>
  </conditionalFormatting>
  <dataValidations disablePrompts="1" count="1">
    <dataValidation type="list" allowBlank="1" showInputMessage="1" showErrorMessage="1" sqref="B11:B12 B3:B7 B20:B25" xr:uid="{00000000-0002-0000-0900-000000000000}">
      <formula1>"Pending, In Progress, Completed, Delayed, N/A"</formula1>
    </dataValidation>
  </dataValidations>
  <hyperlinks>
    <hyperlink ref="A1" location="ToC!A1" display="TOC" xr:uid="{00000000-0004-0000-0900-000000000000}"/>
  </hyperlinks>
  <pageMargins left="0.7" right="0.7" top="0.75" bottom="0.75" header="0.3" footer="0.3"/>
  <pageSetup orientation="portrait" r:id="rId1"/>
  <headerFooter>
    <oddFooter>&amp;C&amp;1#&amp;"Arial"&amp;7&amp;K000000Sensitivity: Internal &amp; Restricted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55EDD-EE1F-47F9-A402-D43C3360DDD3}">
  <dimension ref="A1:K19"/>
  <sheetViews>
    <sheetView zoomScale="85" zoomScaleNormal="85" workbookViewId="0">
      <selection activeCell="F9" sqref="F9"/>
    </sheetView>
  </sheetViews>
  <sheetFormatPr defaultColWidth="9.28515625" defaultRowHeight="19.149999999999999"/>
  <cols>
    <col min="1" max="1" width="3.5703125" style="320" bestFit="1" customWidth="1"/>
    <col min="2" max="2" width="8.85546875" style="298" bestFit="1" customWidth="1"/>
    <col min="3" max="3" width="24" style="320" bestFit="1" customWidth="1"/>
    <col min="4" max="4" width="24.28515625" style="320" customWidth="1"/>
    <col min="5" max="5" width="16.42578125" style="298" bestFit="1" customWidth="1"/>
    <col min="6" max="6" width="93.42578125" style="298" bestFit="1" customWidth="1"/>
    <col min="7" max="7" width="20.28515625" style="320" customWidth="1"/>
    <col min="8" max="8" width="16.85546875" style="320" customWidth="1"/>
    <col min="9" max="9" width="21.7109375" style="320" customWidth="1"/>
    <col min="10" max="10" width="11.7109375" style="298" customWidth="1"/>
    <col min="11" max="11" width="20" style="298" customWidth="1"/>
    <col min="12" max="16384" width="9.28515625" style="298"/>
  </cols>
  <sheetData>
    <row r="1" spans="1:11">
      <c r="A1" s="350" t="s">
        <v>75</v>
      </c>
      <c r="B1" s="350" t="s">
        <v>76</v>
      </c>
      <c r="C1" s="350" t="s">
        <v>77</v>
      </c>
      <c r="D1" s="350" t="s">
        <v>223</v>
      </c>
      <c r="E1" s="350" t="s">
        <v>224</v>
      </c>
      <c r="F1" s="350" t="s">
        <v>78</v>
      </c>
      <c r="G1" s="350" t="s">
        <v>82</v>
      </c>
      <c r="H1" s="350" t="s">
        <v>83</v>
      </c>
      <c r="I1" s="350" t="s">
        <v>165</v>
      </c>
      <c r="J1" s="350" t="s">
        <v>166</v>
      </c>
      <c r="K1" s="350" t="s">
        <v>85</v>
      </c>
    </row>
    <row r="2" spans="1:11">
      <c r="A2" s="331">
        <v>1</v>
      </c>
      <c r="B2" s="351"/>
      <c r="C2" s="331" t="s">
        <v>225</v>
      </c>
      <c r="D2" s="331" t="s">
        <v>226</v>
      </c>
      <c r="E2" s="331" t="s">
        <v>227</v>
      </c>
      <c r="F2" s="331" t="s">
        <v>228</v>
      </c>
      <c r="G2" s="305"/>
      <c r="H2" s="305"/>
      <c r="I2" s="352"/>
      <c r="J2" s="353"/>
      <c r="K2" s="354"/>
    </row>
    <row r="3" spans="1:11">
      <c r="A3" s="331">
        <v>2</v>
      </c>
      <c r="B3" s="351"/>
      <c r="C3" s="331" t="s">
        <v>225</v>
      </c>
      <c r="D3" s="331" t="s">
        <v>226</v>
      </c>
      <c r="E3" s="331" t="s">
        <v>227</v>
      </c>
      <c r="F3" s="331" t="s">
        <v>229</v>
      </c>
      <c r="G3" s="305"/>
      <c r="H3" s="305"/>
      <c r="I3" s="352"/>
      <c r="J3" s="353"/>
      <c r="K3" s="354"/>
    </row>
    <row r="4" spans="1:11">
      <c r="A4" s="331">
        <v>3</v>
      </c>
      <c r="B4" s="351"/>
      <c r="C4" s="331" t="s">
        <v>225</v>
      </c>
      <c r="D4" s="331" t="s">
        <v>226</v>
      </c>
      <c r="E4" s="331" t="s">
        <v>227</v>
      </c>
      <c r="F4" s="331" t="s">
        <v>230</v>
      </c>
      <c r="G4" s="305"/>
      <c r="H4" s="305"/>
      <c r="I4" s="352"/>
      <c r="J4" s="353"/>
      <c r="K4" s="354"/>
    </row>
    <row r="5" spans="1:11">
      <c r="A5" s="331">
        <v>4</v>
      </c>
      <c r="B5" s="351"/>
      <c r="C5" s="331" t="s">
        <v>225</v>
      </c>
      <c r="D5" s="331" t="s">
        <v>226</v>
      </c>
      <c r="E5" s="331" t="s">
        <v>227</v>
      </c>
      <c r="F5" s="331" t="s">
        <v>231</v>
      </c>
      <c r="G5" s="305"/>
      <c r="H5" s="305"/>
      <c r="I5" s="352"/>
      <c r="J5" s="353"/>
      <c r="K5" s="354"/>
    </row>
    <row r="6" spans="1:11">
      <c r="A6" s="331">
        <v>5</v>
      </c>
      <c r="B6" s="351" t="s">
        <v>232</v>
      </c>
      <c r="C6" s="331" t="s">
        <v>225</v>
      </c>
      <c r="D6" s="331" t="s">
        <v>226</v>
      </c>
      <c r="E6" s="331" t="s">
        <v>227</v>
      </c>
      <c r="F6" s="331" t="s">
        <v>233</v>
      </c>
      <c r="G6" s="305"/>
      <c r="H6" s="305"/>
      <c r="I6" s="352"/>
      <c r="J6" s="353"/>
      <c r="K6" s="354"/>
    </row>
    <row r="7" spans="1:11">
      <c r="A7" s="331">
        <v>6</v>
      </c>
      <c r="B7" s="351"/>
      <c r="C7" s="331" t="s">
        <v>225</v>
      </c>
      <c r="D7" s="331" t="s">
        <v>226</v>
      </c>
      <c r="E7" s="331" t="s">
        <v>227</v>
      </c>
      <c r="F7" s="331" t="s">
        <v>234</v>
      </c>
      <c r="G7" s="305"/>
      <c r="H7" s="305"/>
      <c r="I7" s="352"/>
      <c r="J7" s="353"/>
      <c r="K7" s="354"/>
    </row>
    <row r="8" spans="1:11">
      <c r="A8" s="331">
        <v>7</v>
      </c>
      <c r="B8" s="351" t="s">
        <v>232</v>
      </c>
      <c r="C8" s="331" t="s">
        <v>225</v>
      </c>
      <c r="D8" s="331" t="s">
        <v>226</v>
      </c>
      <c r="E8" s="331" t="s">
        <v>227</v>
      </c>
      <c r="F8" s="331" t="s">
        <v>235</v>
      </c>
      <c r="G8" s="305"/>
      <c r="H8" s="305"/>
      <c r="I8" s="352"/>
      <c r="J8" s="353"/>
      <c r="K8" s="354"/>
    </row>
    <row r="9" spans="1:11">
      <c r="A9" s="331">
        <v>8</v>
      </c>
      <c r="B9" s="351"/>
      <c r="C9" s="331" t="s">
        <v>225</v>
      </c>
      <c r="D9" s="331" t="s">
        <v>226</v>
      </c>
      <c r="E9" s="331" t="s">
        <v>227</v>
      </c>
      <c r="F9" s="331" t="s">
        <v>236</v>
      </c>
      <c r="G9" s="305"/>
      <c r="H9" s="305"/>
      <c r="I9" s="352"/>
      <c r="J9" s="353"/>
      <c r="K9" s="354"/>
    </row>
    <row r="10" spans="1:11" ht="38.450000000000003">
      <c r="A10" s="331">
        <v>9</v>
      </c>
      <c r="B10" s="351"/>
      <c r="C10" s="331" t="s">
        <v>225</v>
      </c>
      <c r="D10" s="331" t="s">
        <v>226</v>
      </c>
      <c r="E10" s="331" t="s">
        <v>227</v>
      </c>
      <c r="F10" s="331" t="s">
        <v>237</v>
      </c>
      <c r="G10" s="305"/>
      <c r="H10" s="305"/>
      <c r="I10" s="352"/>
      <c r="J10" s="353"/>
      <c r="K10" s="354"/>
    </row>
    <row r="11" spans="1:11">
      <c r="A11" s="331">
        <v>10</v>
      </c>
      <c r="B11" s="351"/>
      <c r="C11" s="331" t="s">
        <v>225</v>
      </c>
      <c r="D11" s="331" t="s">
        <v>226</v>
      </c>
      <c r="E11" s="331" t="s">
        <v>227</v>
      </c>
      <c r="F11" s="331" t="s">
        <v>238</v>
      </c>
      <c r="G11" s="305"/>
      <c r="H11" s="305"/>
      <c r="I11" s="352"/>
      <c r="J11" s="353"/>
      <c r="K11" s="354"/>
    </row>
    <row r="12" spans="1:11">
      <c r="A12" s="331">
        <v>11</v>
      </c>
      <c r="B12" s="351"/>
      <c r="C12" s="331" t="s">
        <v>239</v>
      </c>
      <c r="D12" s="331" t="s">
        <v>226</v>
      </c>
      <c r="E12" s="331" t="s">
        <v>227</v>
      </c>
      <c r="F12" s="331" t="s">
        <v>240</v>
      </c>
      <c r="G12" s="305"/>
      <c r="H12" s="305"/>
      <c r="I12" s="352"/>
      <c r="J12" s="353"/>
      <c r="K12" s="354"/>
    </row>
    <row r="13" spans="1:11">
      <c r="A13" s="331">
        <v>12</v>
      </c>
      <c r="B13" s="351"/>
      <c r="C13" s="331" t="s">
        <v>225</v>
      </c>
      <c r="D13" s="331" t="s">
        <v>226</v>
      </c>
      <c r="E13" s="331" t="s">
        <v>227</v>
      </c>
      <c r="F13" s="331" t="s">
        <v>241</v>
      </c>
      <c r="G13" s="305"/>
      <c r="H13" s="305"/>
      <c r="I13" s="352"/>
      <c r="J13" s="353"/>
      <c r="K13" s="354"/>
    </row>
    <row r="14" spans="1:11" ht="38.450000000000003">
      <c r="A14" s="331">
        <v>13</v>
      </c>
      <c r="B14" s="351" t="s">
        <v>232</v>
      </c>
      <c r="C14" s="331" t="s">
        <v>160</v>
      </c>
      <c r="D14" s="331" t="s">
        <v>226</v>
      </c>
      <c r="E14" s="331" t="s">
        <v>227</v>
      </c>
      <c r="F14" s="331" t="s">
        <v>242</v>
      </c>
      <c r="G14" s="305"/>
      <c r="H14" s="305"/>
      <c r="I14" s="352"/>
      <c r="J14" s="353"/>
      <c r="K14" s="354"/>
    </row>
    <row r="15" spans="1:11" ht="38.450000000000003">
      <c r="A15" s="331">
        <v>14</v>
      </c>
      <c r="B15" s="351" t="s">
        <v>232</v>
      </c>
      <c r="C15" s="331" t="s">
        <v>243</v>
      </c>
      <c r="D15" s="331" t="s">
        <v>226</v>
      </c>
      <c r="E15" s="331" t="s">
        <v>227</v>
      </c>
      <c r="F15" s="331" t="s">
        <v>244</v>
      </c>
      <c r="G15" s="305"/>
      <c r="H15" s="305"/>
      <c r="I15" s="352"/>
      <c r="J15" s="353"/>
      <c r="K15" s="354"/>
    </row>
    <row r="16" spans="1:11">
      <c r="A16" s="331">
        <v>15</v>
      </c>
      <c r="B16" s="351"/>
      <c r="C16" s="331" t="s">
        <v>239</v>
      </c>
      <c r="D16" s="331" t="s">
        <v>226</v>
      </c>
      <c r="E16" s="331" t="s">
        <v>227</v>
      </c>
      <c r="F16" s="331" t="s">
        <v>245</v>
      </c>
      <c r="G16" s="305"/>
      <c r="H16" s="305"/>
      <c r="I16" s="352"/>
      <c r="J16" s="353"/>
      <c r="K16" s="354"/>
    </row>
    <row r="17" spans="1:11" ht="38.450000000000003">
      <c r="A17" s="331">
        <v>16</v>
      </c>
      <c r="B17" s="351"/>
      <c r="C17" s="331" t="s">
        <v>239</v>
      </c>
      <c r="D17" s="331" t="s">
        <v>226</v>
      </c>
      <c r="E17" s="331" t="s">
        <v>227</v>
      </c>
      <c r="F17" s="331" t="s">
        <v>246</v>
      </c>
      <c r="G17" s="305"/>
      <c r="H17" s="305"/>
      <c r="I17" s="352"/>
      <c r="J17" s="353"/>
      <c r="K17" s="354"/>
    </row>
    <row r="18" spans="1:11" ht="38.450000000000003">
      <c r="A18" s="331">
        <v>17</v>
      </c>
      <c r="B18" s="351"/>
      <c r="C18" s="331" t="s">
        <v>239</v>
      </c>
      <c r="D18" s="331" t="s">
        <v>226</v>
      </c>
      <c r="E18" s="331" t="s">
        <v>227</v>
      </c>
      <c r="F18" s="331" t="s">
        <v>247</v>
      </c>
      <c r="G18" s="305"/>
      <c r="H18" s="305"/>
      <c r="I18" s="352"/>
      <c r="J18" s="353"/>
      <c r="K18" s="354"/>
    </row>
    <row r="19" spans="1:11" ht="38.450000000000003">
      <c r="A19" s="331">
        <v>18</v>
      </c>
      <c r="B19" s="351"/>
      <c r="C19" s="331" t="s">
        <v>239</v>
      </c>
      <c r="D19" s="331" t="s">
        <v>226</v>
      </c>
      <c r="E19" s="331" t="s">
        <v>227</v>
      </c>
      <c r="F19" s="331" t="s">
        <v>248</v>
      </c>
      <c r="G19" s="305"/>
      <c r="H19" s="305"/>
      <c r="I19" s="352"/>
      <c r="J19" s="353"/>
      <c r="K19" s="354"/>
    </row>
  </sheetData>
  <protectedRanges>
    <protectedRange password="C6D0" sqref="J3:J5 J9:J10" name="Date and Start Time_3_1_2_2_3_1_1_3_1_2_1" securityDescriptor="O:WDG:WDD:(A;;CC;;;S-1-5-21-53694668-648618266-1194094237-263271)"/>
    <protectedRange password="C6D0" sqref="G1" name="Date and Start Time_8_1_2_1_1_3_1_2_1" securityDescriptor="O:WDG:WDD:(A;;CC;;;S-1-5-21-53694668-648618266-1194094237-263271)"/>
    <protectedRange password="C6D0" sqref="J2" name="Date and Start Time_3_1_2_2_3_1_1_4_2_1_2_1" securityDescriptor="O:WDG:WDD:(A;;CC;;;S-1-5-21-53694668-648618266-1194094237-263271)"/>
    <protectedRange password="C6D0" sqref="J6" name="Date and Start Time_3_1_2_2_3_1_1_3_1" securityDescriptor="O:WDG:WDD:(A;;CC;;;S-1-5-21-53694668-648618266-1194094237-263271)"/>
  </protectedRanges>
  <conditionalFormatting sqref="A1:K1 I2:K2 I7:K8">
    <cfRule type="cellIs" dxfId="19" priority="4" stopIfTrue="1" operator="equal">
      <formula>"Completed"</formula>
    </cfRule>
    <cfRule type="cellIs" dxfId="18" priority="5" stopIfTrue="1" operator="equal">
      <formula>"In Progress"</formula>
    </cfRule>
    <cfRule type="cellIs" dxfId="17" priority="6" stopIfTrue="1" operator="equal">
      <formula>"Delayed"</formula>
    </cfRule>
  </conditionalFormatting>
  <conditionalFormatting sqref="F3:F4 C12:F12 D13:F15">
    <cfRule type="cellIs" dxfId="16" priority="1" stopIfTrue="1" operator="equal">
      <formula>"Completed"</formula>
    </cfRule>
    <cfRule type="cellIs" dxfId="15" priority="2" stopIfTrue="1" operator="equal">
      <formula>"In Progress"</formula>
    </cfRule>
    <cfRule type="cellIs" dxfId="14" priority="3" stopIfTrue="1" operator="equal">
      <formula>"Delayed"</formula>
    </cfRule>
  </conditionalFormatting>
  <pageMargins left="0.7" right="0.7" top="0.75" bottom="0.75" header="0.3" footer="0.3"/>
  <pageSetup orientation="portrait"/>
  <headerFooter>
    <oddFooter>&amp;C&amp;1#&amp;"Arial"&amp;7&amp;K000000Sensitivity: Internal &amp; Restricted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AA54C-BA1B-4D48-9D82-1230C45B44DA}">
  <dimension ref="A1:K10"/>
  <sheetViews>
    <sheetView topLeftCell="C1" workbookViewId="0">
      <selection activeCell="F22" sqref="F22"/>
    </sheetView>
  </sheetViews>
  <sheetFormatPr defaultRowHeight="14.45"/>
  <cols>
    <col min="1" max="1" width="1.7109375" bestFit="1" customWidth="1"/>
    <col min="2" max="2" width="13.28515625" customWidth="1"/>
    <col min="3" max="3" width="35.28515625" bestFit="1" customWidth="1"/>
    <col min="4" max="4" width="15" bestFit="1" customWidth="1"/>
    <col min="5" max="5" width="13.7109375" bestFit="1" customWidth="1"/>
    <col min="6" max="6" width="97.28515625" bestFit="1" customWidth="1"/>
    <col min="7" max="7" width="10.28515625" bestFit="1" customWidth="1"/>
    <col min="8" max="8" width="9.5703125" bestFit="1" customWidth="1"/>
    <col min="9" max="9" width="13.5703125" bestFit="1" customWidth="1"/>
    <col min="10" max="10" width="5.5703125" bestFit="1" customWidth="1"/>
    <col min="11" max="11" width="12.5703125" bestFit="1" customWidth="1"/>
  </cols>
  <sheetData>
    <row r="1" spans="1:11">
      <c r="A1" s="275" t="s">
        <v>75</v>
      </c>
      <c r="B1" s="275" t="s">
        <v>76</v>
      </c>
      <c r="C1" s="275" t="s">
        <v>77</v>
      </c>
      <c r="D1" s="275" t="s">
        <v>223</v>
      </c>
      <c r="E1" s="275" t="s">
        <v>224</v>
      </c>
      <c r="F1" s="275" t="s">
        <v>78</v>
      </c>
      <c r="G1" s="275" t="s">
        <v>82</v>
      </c>
      <c r="H1" s="275" t="s">
        <v>83</v>
      </c>
      <c r="I1" s="275" t="s">
        <v>165</v>
      </c>
      <c r="J1" s="275" t="s">
        <v>166</v>
      </c>
      <c r="K1" s="275" t="s">
        <v>85</v>
      </c>
    </row>
    <row r="2" spans="1:11">
      <c r="A2" s="218">
        <v>1</v>
      </c>
      <c r="B2" s="218"/>
      <c r="C2" s="218" t="s">
        <v>249</v>
      </c>
      <c r="D2" s="218" t="s">
        <v>250</v>
      </c>
      <c r="E2" s="218" t="s">
        <v>227</v>
      </c>
      <c r="F2" s="218" t="s">
        <v>228</v>
      </c>
      <c r="G2" s="255"/>
      <c r="H2" s="255"/>
      <c r="I2" s="218"/>
      <c r="J2" s="218"/>
      <c r="K2" s="218"/>
    </row>
    <row r="3" spans="1:11">
      <c r="A3" s="218">
        <v>2</v>
      </c>
      <c r="B3" s="218"/>
      <c r="C3" s="218" t="s">
        <v>225</v>
      </c>
      <c r="D3" s="218" t="s">
        <v>250</v>
      </c>
      <c r="E3" s="218" t="s">
        <v>227</v>
      </c>
      <c r="F3" s="218" t="s">
        <v>251</v>
      </c>
      <c r="G3" s="255"/>
      <c r="H3" s="255"/>
      <c r="I3" s="218"/>
      <c r="J3" s="218"/>
      <c r="K3" s="218"/>
    </row>
    <row r="4" spans="1:11">
      <c r="A4" s="218">
        <v>3</v>
      </c>
      <c r="B4" s="218"/>
      <c r="C4" s="218" t="s">
        <v>252</v>
      </c>
      <c r="D4" s="218" t="s">
        <v>250</v>
      </c>
      <c r="E4" s="218" t="s">
        <v>227</v>
      </c>
      <c r="F4" s="218" t="s">
        <v>253</v>
      </c>
      <c r="G4" s="255"/>
      <c r="H4" s="255"/>
      <c r="I4" s="218"/>
      <c r="J4" s="218"/>
      <c r="K4" s="218"/>
    </row>
    <row r="5" spans="1:11">
      <c r="A5" s="218">
        <v>4</v>
      </c>
      <c r="B5" s="218"/>
      <c r="C5" s="218" t="s">
        <v>254</v>
      </c>
      <c r="D5" s="218" t="s">
        <v>250</v>
      </c>
      <c r="E5" s="218" t="s">
        <v>227</v>
      </c>
      <c r="F5" s="218" t="s">
        <v>255</v>
      </c>
      <c r="G5" s="255"/>
      <c r="H5" s="255"/>
      <c r="I5" s="218"/>
      <c r="J5" s="218"/>
      <c r="K5" s="218"/>
    </row>
    <row r="6" spans="1:11">
      <c r="A6" s="218">
        <v>5</v>
      </c>
      <c r="B6" s="218"/>
      <c r="C6" s="218" t="s">
        <v>256</v>
      </c>
      <c r="D6" s="218" t="s">
        <v>250</v>
      </c>
      <c r="E6" s="218" t="s">
        <v>227</v>
      </c>
      <c r="F6" s="218" t="s">
        <v>257</v>
      </c>
      <c r="G6" s="255"/>
      <c r="H6" s="255"/>
      <c r="I6" s="218"/>
      <c r="J6" s="218"/>
      <c r="K6" s="218"/>
    </row>
    <row r="7" spans="1:11">
      <c r="A7" s="218">
        <v>6</v>
      </c>
      <c r="B7" s="218"/>
      <c r="C7" s="218" t="s">
        <v>258</v>
      </c>
      <c r="D7" s="218" t="s">
        <v>250</v>
      </c>
      <c r="E7" s="218" t="s">
        <v>227</v>
      </c>
      <c r="F7" s="218" t="s">
        <v>259</v>
      </c>
      <c r="G7" s="255"/>
      <c r="H7" s="255"/>
      <c r="I7" s="218"/>
      <c r="J7" s="218"/>
      <c r="K7" s="218"/>
    </row>
    <row r="8" spans="1:11">
      <c r="A8" s="218">
        <v>7</v>
      </c>
      <c r="B8" s="218"/>
      <c r="C8" s="218" t="s">
        <v>225</v>
      </c>
      <c r="D8" s="218" t="s">
        <v>250</v>
      </c>
      <c r="E8" s="218" t="s">
        <v>227</v>
      </c>
      <c r="F8" s="218" t="s">
        <v>260</v>
      </c>
      <c r="G8" s="255"/>
      <c r="H8" s="255"/>
      <c r="I8" s="218"/>
      <c r="J8" s="218"/>
      <c r="K8" s="218"/>
    </row>
    <row r="9" spans="1:11">
      <c r="A9" s="218">
        <v>8</v>
      </c>
      <c r="B9" s="218"/>
      <c r="C9" s="218" t="s">
        <v>225</v>
      </c>
      <c r="D9" s="218" t="s">
        <v>250</v>
      </c>
      <c r="E9" s="218" t="s">
        <v>261</v>
      </c>
      <c r="F9" s="218" t="s">
        <v>262</v>
      </c>
      <c r="G9" s="218"/>
      <c r="H9" s="218"/>
      <c r="I9" s="218"/>
      <c r="J9" s="218"/>
      <c r="K9" s="218"/>
    </row>
    <row r="10" spans="1:11">
      <c r="A10" s="218">
        <v>9</v>
      </c>
      <c r="B10" s="218"/>
      <c r="C10" s="218" t="s">
        <v>225</v>
      </c>
      <c r="D10" s="218" t="s">
        <v>250</v>
      </c>
      <c r="E10" s="218" t="s">
        <v>227</v>
      </c>
      <c r="F10" s="218" t="s">
        <v>263</v>
      </c>
      <c r="G10" s="218"/>
      <c r="H10" s="218"/>
      <c r="I10" s="218"/>
      <c r="J10" s="218"/>
      <c r="K10" s="21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C5FFC-4AA1-4C41-8C08-2C801F72AF11}">
  <dimension ref="A1:N19"/>
  <sheetViews>
    <sheetView topLeftCell="C1" workbookViewId="0">
      <selection activeCell="C1" sqref="C1"/>
    </sheetView>
  </sheetViews>
  <sheetFormatPr defaultRowHeight="14.45"/>
  <cols>
    <col min="1" max="1" width="2.5703125" bestFit="1" customWidth="1"/>
    <col min="2" max="2" width="7.7109375" customWidth="1"/>
    <col min="3" max="3" width="19.42578125" bestFit="1" customWidth="1"/>
    <col min="4" max="4" width="14.28515625" bestFit="1" customWidth="1"/>
    <col min="5" max="5" width="18.7109375" customWidth="1"/>
    <col min="6" max="6" width="17.7109375" customWidth="1"/>
    <col min="7" max="7" width="10.7109375" customWidth="1"/>
    <col min="8" max="8" width="80.42578125" bestFit="1" customWidth="1"/>
    <col min="9" max="9" width="13.7109375" bestFit="1" customWidth="1"/>
  </cols>
  <sheetData>
    <row r="1" spans="1:14" ht="39.6">
      <c r="A1" s="271" t="s">
        <v>75</v>
      </c>
      <c r="B1" s="271" t="s">
        <v>76</v>
      </c>
      <c r="C1" s="271" t="s">
        <v>77</v>
      </c>
      <c r="D1" s="271" t="s">
        <v>223</v>
      </c>
      <c r="E1" s="276" t="s">
        <v>264</v>
      </c>
      <c r="F1" s="276" t="s">
        <v>224</v>
      </c>
      <c r="G1" s="276" t="s">
        <v>265</v>
      </c>
      <c r="H1" s="277" t="s">
        <v>78</v>
      </c>
      <c r="I1" s="271" t="s">
        <v>266</v>
      </c>
      <c r="J1" s="271" t="s">
        <v>82</v>
      </c>
      <c r="K1" s="271" t="s">
        <v>83</v>
      </c>
      <c r="L1" s="271" t="s">
        <v>267</v>
      </c>
      <c r="M1" s="271" t="s">
        <v>166</v>
      </c>
      <c r="N1" s="271" t="s">
        <v>85</v>
      </c>
    </row>
    <row r="2" spans="1:14">
      <c r="A2" s="248">
        <v>1</v>
      </c>
      <c r="B2" s="248"/>
      <c r="C2" s="248" t="s">
        <v>268</v>
      </c>
      <c r="D2" s="248" t="s">
        <v>269</v>
      </c>
      <c r="E2" s="278" t="s">
        <v>270</v>
      </c>
      <c r="F2" s="278" t="s">
        <v>227</v>
      </c>
      <c r="G2" s="38" t="s">
        <v>271</v>
      </c>
      <c r="H2" s="279" t="s">
        <v>272</v>
      </c>
      <c r="I2" s="272" t="s">
        <v>273</v>
      </c>
      <c r="J2" s="272"/>
      <c r="K2" s="272"/>
      <c r="L2" s="272"/>
      <c r="M2" s="273"/>
      <c r="N2" s="274"/>
    </row>
    <row r="3" spans="1:14">
      <c r="A3" s="248">
        <v>2</v>
      </c>
      <c r="B3" s="248"/>
      <c r="C3" s="248" t="s">
        <v>268</v>
      </c>
      <c r="D3" s="248" t="s">
        <v>269</v>
      </c>
      <c r="E3" s="278" t="s">
        <v>270</v>
      </c>
      <c r="F3" s="278" t="s">
        <v>227</v>
      </c>
      <c r="G3" s="38" t="s">
        <v>274</v>
      </c>
      <c r="H3" s="279" t="s">
        <v>275</v>
      </c>
      <c r="I3" s="272" t="s">
        <v>276</v>
      </c>
      <c r="J3" s="272"/>
      <c r="K3" s="272"/>
      <c r="L3" s="272"/>
      <c r="M3" s="273"/>
      <c r="N3" s="274"/>
    </row>
    <row r="4" spans="1:14" ht="26.45">
      <c r="A4" s="248">
        <v>3</v>
      </c>
      <c r="B4" s="248"/>
      <c r="C4" s="248" t="s">
        <v>268</v>
      </c>
      <c r="D4" s="248" t="s">
        <v>269</v>
      </c>
      <c r="E4" s="278" t="s">
        <v>270</v>
      </c>
      <c r="F4" s="278" t="s">
        <v>227</v>
      </c>
      <c r="G4" s="38" t="s">
        <v>277</v>
      </c>
      <c r="H4" s="279" t="s">
        <v>278</v>
      </c>
      <c r="I4" s="272" t="s">
        <v>279</v>
      </c>
      <c r="J4" s="272"/>
      <c r="K4" s="272"/>
      <c r="L4" s="272"/>
      <c r="M4" s="273"/>
      <c r="N4" s="274"/>
    </row>
    <row r="5" spans="1:14">
      <c r="A5" s="248">
        <v>4</v>
      </c>
      <c r="B5" s="248"/>
      <c r="C5" s="248" t="s">
        <v>280</v>
      </c>
      <c r="D5" s="248" t="s">
        <v>269</v>
      </c>
      <c r="E5" s="278" t="s">
        <v>270</v>
      </c>
      <c r="F5" s="278" t="s">
        <v>227</v>
      </c>
      <c r="G5" s="38" t="s">
        <v>281</v>
      </c>
      <c r="H5" s="279" t="s">
        <v>282</v>
      </c>
      <c r="I5" s="272" t="s">
        <v>273</v>
      </c>
      <c r="J5" s="272"/>
      <c r="K5" s="272"/>
      <c r="L5" s="272"/>
      <c r="M5" s="273"/>
      <c r="N5" s="274"/>
    </row>
    <row r="6" spans="1:14">
      <c r="A6" s="248">
        <v>5</v>
      </c>
      <c r="B6" s="248"/>
      <c r="C6" s="248" t="s">
        <v>280</v>
      </c>
      <c r="D6" s="248" t="s">
        <v>269</v>
      </c>
      <c r="E6" s="278" t="s">
        <v>283</v>
      </c>
      <c r="F6" s="278" t="s">
        <v>227</v>
      </c>
      <c r="G6" s="38" t="s">
        <v>281</v>
      </c>
      <c r="H6" s="279" t="s">
        <v>284</v>
      </c>
      <c r="I6" s="272" t="s">
        <v>273</v>
      </c>
      <c r="J6" s="272"/>
      <c r="K6" s="272"/>
      <c r="L6" s="272"/>
      <c r="M6" s="273"/>
      <c r="N6" s="274"/>
    </row>
    <row r="7" spans="1:14">
      <c r="A7" s="248">
        <v>6</v>
      </c>
      <c r="B7" s="248"/>
      <c r="C7" s="248" t="s">
        <v>285</v>
      </c>
      <c r="D7" s="248" t="s">
        <v>269</v>
      </c>
      <c r="E7" s="278" t="s">
        <v>283</v>
      </c>
      <c r="F7" s="278" t="s">
        <v>227</v>
      </c>
      <c r="G7" s="38" t="s">
        <v>281</v>
      </c>
      <c r="H7" s="279" t="s">
        <v>286</v>
      </c>
      <c r="I7" s="280" t="s">
        <v>273</v>
      </c>
      <c r="J7" s="280"/>
      <c r="K7" s="280"/>
      <c r="L7" s="280"/>
      <c r="M7" s="273"/>
      <c r="N7" s="274"/>
    </row>
    <row r="8" spans="1:14" ht="52.9">
      <c r="A8" s="248">
        <v>7</v>
      </c>
      <c r="B8" s="248"/>
      <c r="C8" s="248" t="s">
        <v>287</v>
      </c>
      <c r="D8" s="248" t="s">
        <v>288</v>
      </c>
      <c r="E8" s="248" t="s">
        <v>283</v>
      </c>
      <c r="F8" s="248" t="s">
        <v>227</v>
      </c>
      <c r="G8" s="38" t="s">
        <v>281</v>
      </c>
      <c r="H8" s="248" t="s">
        <v>289</v>
      </c>
      <c r="I8" s="280" t="s">
        <v>276</v>
      </c>
      <c r="J8" s="280"/>
      <c r="K8" s="281"/>
      <c r="L8" s="280"/>
      <c r="M8" s="273"/>
      <c r="N8" s="274"/>
    </row>
    <row r="9" spans="1:14">
      <c r="A9" s="248">
        <v>8</v>
      </c>
      <c r="B9" s="248"/>
      <c r="C9" s="248" t="s">
        <v>280</v>
      </c>
      <c r="D9" s="248" t="s">
        <v>288</v>
      </c>
      <c r="E9" s="248" t="s">
        <v>270</v>
      </c>
      <c r="F9" s="248" t="s">
        <v>227</v>
      </c>
      <c r="G9" s="38" t="s">
        <v>290</v>
      </c>
      <c r="H9" s="248" t="s">
        <v>291</v>
      </c>
      <c r="I9" s="280" t="s">
        <v>292</v>
      </c>
      <c r="J9" s="272"/>
      <c r="K9" s="282"/>
      <c r="L9" s="272"/>
      <c r="M9" s="273"/>
      <c r="N9" s="274"/>
    </row>
    <row r="10" spans="1:14">
      <c r="A10" s="248">
        <v>9</v>
      </c>
      <c r="B10" s="248"/>
      <c r="C10" s="248" t="s">
        <v>293</v>
      </c>
      <c r="D10" s="248" t="s">
        <v>288</v>
      </c>
      <c r="E10" s="248" t="s">
        <v>283</v>
      </c>
      <c r="F10" s="248" t="s">
        <v>261</v>
      </c>
      <c r="G10" s="38" t="s">
        <v>281</v>
      </c>
      <c r="H10" s="248" t="s">
        <v>294</v>
      </c>
      <c r="I10" s="280" t="s">
        <v>276</v>
      </c>
      <c r="J10" s="272"/>
      <c r="K10" s="282"/>
      <c r="L10" s="272"/>
      <c r="M10" s="273"/>
      <c r="N10" s="274"/>
    </row>
    <row r="11" spans="1:14">
      <c r="A11" s="248">
        <v>10</v>
      </c>
      <c r="B11" s="248"/>
      <c r="C11" s="248" t="s">
        <v>280</v>
      </c>
      <c r="D11" s="248" t="s">
        <v>288</v>
      </c>
      <c r="E11" s="248" t="s">
        <v>283</v>
      </c>
      <c r="F11" s="248" t="s">
        <v>227</v>
      </c>
      <c r="G11" s="38" t="s">
        <v>281</v>
      </c>
      <c r="H11" s="248" t="s">
        <v>295</v>
      </c>
      <c r="I11" s="280" t="s">
        <v>279</v>
      </c>
      <c r="J11" s="272"/>
      <c r="K11" s="282"/>
      <c r="L11" s="272"/>
      <c r="M11" s="273"/>
      <c r="N11" s="274"/>
    </row>
    <row r="12" spans="1:14" ht="26.45">
      <c r="A12" s="248">
        <v>11</v>
      </c>
      <c r="B12" s="248"/>
      <c r="C12" s="248" t="s">
        <v>296</v>
      </c>
      <c r="D12" s="248" t="s">
        <v>288</v>
      </c>
      <c r="E12" s="248" t="s">
        <v>270</v>
      </c>
      <c r="F12" s="248" t="s">
        <v>227</v>
      </c>
      <c r="G12" s="38" t="s">
        <v>297</v>
      </c>
      <c r="H12" s="248" t="s">
        <v>298</v>
      </c>
      <c r="I12" s="280" t="s">
        <v>299</v>
      </c>
      <c r="J12" s="280"/>
      <c r="K12" s="281"/>
      <c r="L12" s="280"/>
      <c r="M12" s="273"/>
      <c r="N12" s="274"/>
    </row>
    <row r="13" spans="1:14">
      <c r="A13" s="248">
        <v>12</v>
      </c>
      <c r="B13" s="248"/>
      <c r="C13" s="248" t="s">
        <v>293</v>
      </c>
      <c r="D13" s="248" t="s">
        <v>300</v>
      </c>
      <c r="E13" s="248" t="s">
        <v>283</v>
      </c>
      <c r="F13" s="248" t="s">
        <v>261</v>
      </c>
      <c r="G13" s="38" t="s">
        <v>301</v>
      </c>
      <c r="H13" s="248" t="s">
        <v>302</v>
      </c>
      <c r="I13" s="272" t="s">
        <v>299</v>
      </c>
      <c r="J13" s="272"/>
      <c r="K13" s="282"/>
      <c r="L13" s="272"/>
      <c r="M13" s="273"/>
      <c r="N13" s="274"/>
    </row>
    <row r="14" spans="1:14">
      <c r="A14" s="248">
        <v>13</v>
      </c>
      <c r="B14" s="248"/>
      <c r="C14" s="248" t="s">
        <v>303</v>
      </c>
      <c r="D14" s="248" t="s">
        <v>300</v>
      </c>
      <c r="E14" s="248" t="s">
        <v>270</v>
      </c>
      <c r="F14" s="248" t="s">
        <v>227</v>
      </c>
      <c r="G14" s="38" t="s">
        <v>304</v>
      </c>
      <c r="H14" s="248" t="s">
        <v>305</v>
      </c>
      <c r="I14" s="280" t="s">
        <v>273</v>
      </c>
      <c r="J14" s="280"/>
      <c r="K14" s="281"/>
      <c r="L14" s="280"/>
      <c r="M14" s="283"/>
      <c r="N14" s="283"/>
    </row>
    <row r="15" spans="1:14">
      <c r="A15" s="248">
        <v>14</v>
      </c>
      <c r="B15" s="248"/>
      <c r="C15" s="248" t="s">
        <v>306</v>
      </c>
      <c r="D15" s="248" t="s">
        <v>300</v>
      </c>
      <c r="E15" s="248" t="s">
        <v>283</v>
      </c>
      <c r="F15" s="248" t="s">
        <v>227</v>
      </c>
      <c r="G15" s="38" t="s">
        <v>304</v>
      </c>
      <c r="H15" s="248" t="s">
        <v>307</v>
      </c>
      <c r="I15" s="280" t="s">
        <v>273</v>
      </c>
      <c r="J15" s="280"/>
      <c r="K15" s="281"/>
      <c r="L15" s="280"/>
      <c r="M15" s="283"/>
      <c r="N15" s="283"/>
    </row>
    <row r="16" spans="1:14">
      <c r="A16" s="248">
        <v>15</v>
      </c>
      <c r="B16" s="248"/>
      <c r="C16" s="248" t="s">
        <v>280</v>
      </c>
      <c r="D16" s="248" t="s">
        <v>300</v>
      </c>
      <c r="E16" s="248" t="s">
        <v>270</v>
      </c>
      <c r="F16" s="248" t="s">
        <v>227</v>
      </c>
      <c r="G16" s="38" t="s">
        <v>308</v>
      </c>
      <c r="H16" s="248" t="s">
        <v>309</v>
      </c>
      <c r="I16" s="272" t="s">
        <v>273</v>
      </c>
      <c r="J16" s="272"/>
      <c r="K16" s="282"/>
      <c r="L16" s="272"/>
      <c r="M16" s="273"/>
      <c r="N16" s="274"/>
    </row>
    <row r="17" spans="1:14">
      <c r="A17" s="248">
        <v>16</v>
      </c>
      <c r="B17" s="248"/>
      <c r="C17" s="248" t="s">
        <v>310</v>
      </c>
      <c r="D17" s="248" t="s">
        <v>300</v>
      </c>
      <c r="E17" s="248" t="s">
        <v>270</v>
      </c>
      <c r="F17" s="248" t="s">
        <v>227</v>
      </c>
      <c r="G17" s="38" t="s">
        <v>311</v>
      </c>
      <c r="H17" s="248" t="s">
        <v>312</v>
      </c>
      <c r="I17" s="37" t="s">
        <v>299</v>
      </c>
      <c r="J17" s="37"/>
      <c r="K17" s="12"/>
      <c r="L17" s="12"/>
      <c r="M17" s="12"/>
      <c r="N17" s="12"/>
    </row>
    <row r="18" spans="1:14">
      <c r="A18" s="248">
        <v>17</v>
      </c>
      <c r="B18" s="248"/>
      <c r="C18" s="248" t="s">
        <v>268</v>
      </c>
      <c r="D18" s="248" t="s">
        <v>300</v>
      </c>
      <c r="E18" s="248" t="s">
        <v>270</v>
      </c>
      <c r="F18" s="248" t="s">
        <v>227</v>
      </c>
      <c r="G18" s="38" t="s">
        <v>313</v>
      </c>
      <c r="H18" s="248" t="s">
        <v>314</v>
      </c>
      <c r="I18" s="284" t="s">
        <v>299</v>
      </c>
      <c r="J18" s="12"/>
      <c r="K18" s="12"/>
      <c r="L18" s="12"/>
      <c r="M18" s="12"/>
      <c r="N18" s="12"/>
    </row>
    <row r="19" spans="1:14">
      <c r="A19" s="248">
        <v>18</v>
      </c>
      <c r="B19" s="248"/>
      <c r="C19" s="248" t="s">
        <v>315</v>
      </c>
      <c r="D19" s="248" t="s">
        <v>300</v>
      </c>
      <c r="E19" s="248" t="s">
        <v>270</v>
      </c>
      <c r="F19" s="248" t="s">
        <v>316</v>
      </c>
      <c r="G19" s="38" t="s">
        <v>317</v>
      </c>
      <c r="H19" s="248" t="s">
        <v>318</v>
      </c>
      <c r="I19" s="284" t="s">
        <v>299</v>
      </c>
      <c r="J19" s="12"/>
    </row>
  </sheetData>
  <protectedRanges>
    <protectedRange password="C6D0" sqref="M8" name="Date and Start Time_3_1_2_2_3_1_1_1_2_1" securityDescriptor="O:WDG:WDD:(A;;CC;;;S-1-5-21-53694668-648618266-1194094237-263271)"/>
    <protectedRange password="C6D0" sqref="J1" name="Date and Start Time_8_1_2_1_1_2_1" securityDescriptor="O:WDG:WDD:(A;;CC;;;S-1-5-21-53694668-648618266-1194094237-263271)"/>
  </protectedRanges>
  <conditionalFormatting sqref="A1:E1 G1:N1 F1:F4 A2:C2 I2:N3 A3:B3 C3:C4 B4 H4:N4 A4:A19">
    <cfRule type="cellIs" dxfId="13" priority="7" stopIfTrue="1" operator="equal">
      <formula>"Completed"</formula>
    </cfRule>
    <cfRule type="cellIs" dxfId="12" priority="8" stopIfTrue="1" operator="equal">
      <formula>"In Progress"</formula>
    </cfRule>
    <cfRule type="cellIs" dxfId="11" priority="9" stopIfTrue="1" operator="equal">
      <formula>"Delayed"</formula>
    </cfRule>
  </conditionalFormatting>
  <conditionalFormatting sqref="C18:C19">
    <cfRule type="cellIs" dxfId="10" priority="4" stopIfTrue="1" operator="equal">
      <formula>"Completed"</formula>
    </cfRule>
    <cfRule type="cellIs" dxfId="9" priority="5" stopIfTrue="1" operator="equal">
      <formula>"In Progress"</formula>
    </cfRule>
    <cfRule type="cellIs" dxfId="8" priority="6" stopIfTrue="1" operator="equal">
      <formula>"Delayed"</formula>
    </cfRule>
  </conditionalFormatting>
  <conditionalFormatting sqref="H19:I19">
    <cfRule type="cellIs" dxfId="7" priority="1" stopIfTrue="1" operator="equal">
      <formula>"Completed"</formula>
    </cfRule>
    <cfRule type="cellIs" dxfId="6" priority="2" stopIfTrue="1" operator="equal">
      <formula>"In Progress"</formula>
    </cfRule>
    <cfRule type="cellIs" dxfId="5" priority="3" stopIfTrue="1" operator="equal">
      <formula>"Delayed"</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6"/>
  <sheetViews>
    <sheetView zoomScale="90" zoomScaleNormal="90" workbookViewId="0">
      <selection activeCell="C15" sqref="C15"/>
    </sheetView>
  </sheetViews>
  <sheetFormatPr defaultColWidth="9.28515625" defaultRowHeight="12" customHeight="1"/>
  <cols>
    <col min="1" max="1" width="4" style="42" bestFit="1" customWidth="1"/>
    <col min="2" max="2" width="7.42578125" style="17" bestFit="1" customWidth="1"/>
    <col min="3" max="4" width="21.7109375" style="17" customWidth="1"/>
    <col min="5" max="5" width="76.7109375" style="17" bestFit="1" customWidth="1"/>
    <col min="6" max="6" width="19.28515625" style="17" customWidth="1"/>
    <col min="7" max="8" width="18.28515625" style="42" customWidth="1"/>
    <col min="9" max="9" width="9.42578125" style="42" bestFit="1" customWidth="1"/>
    <col min="10" max="10" width="12.7109375" style="17" customWidth="1"/>
    <col min="11" max="11" width="14.5703125" style="17" bestFit="1" customWidth="1"/>
    <col min="12" max="16384" width="9.28515625" style="17"/>
  </cols>
  <sheetData>
    <row r="1" spans="1:15" ht="20.65" customHeight="1">
      <c r="A1" s="127" t="s">
        <v>75</v>
      </c>
      <c r="B1" s="124" t="s">
        <v>76</v>
      </c>
      <c r="C1" s="202" t="s">
        <v>77</v>
      </c>
      <c r="D1" s="202" t="s">
        <v>319</v>
      </c>
      <c r="E1" s="124" t="s">
        <v>78</v>
      </c>
      <c r="F1" s="124" t="s">
        <v>185</v>
      </c>
      <c r="G1" s="129" t="s">
        <v>82</v>
      </c>
      <c r="H1" s="126" t="s">
        <v>83</v>
      </c>
      <c r="I1" s="124" t="s">
        <v>84</v>
      </c>
      <c r="J1" s="130" t="s">
        <v>166</v>
      </c>
      <c r="K1" s="205" t="s">
        <v>85</v>
      </c>
    </row>
    <row r="2" spans="1:15" customFormat="1" ht="14.45">
      <c r="A2" s="387" t="s">
        <v>320</v>
      </c>
      <c r="B2" s="387"/>
      <c r="C2" s="387"/>
      <c r="D2" s="387"/>
      <c r="E2" s="387"/>
      <c r="F2" s="387"/>
      <c r="G2" s="387"/>
      <c r="H2" s="387"/>
      <c r="I2" s="387"/>
      <c r="J2" s="221"/>
      <c r="K2" s="222"/>
      <c r="L2" s="222"/>
      <c r="M2" s="222"/>
      <c r="N2" s="222"/>
      <c r="O2" s="222"/>
    </row>
    <row r="3" spans="1:15" customFormat="1" ht="14.45">
      <c r="A3" s="385" t="s">
        <v>321</v>
      </c>
      <c r="B3" s="385"/>
      <c r="C3" s="385"/>
      <c r="D3" s="385"/>
      <c r="E3" s="385"/>
      <c r="F3" s="385"/>
      <c r="G3" s="385"/>
      <c r="H3" s="385"/>
      <c r="I3" s="385"/>
      <c r="J3" s="385"/>
      <c r="K3" s="219"/>
      <c r="L3" s="219"/>
      <c r="M3" s="219"/>
      <c r="N3" s="219"/>
      <c r="O3" s="219"/>
    </row>
    <row r="4" spans="1:15" ht="27.6" customHeight="1">
      <c r="A4" s="54"/>
      <c r="B4" s="55" t="s">
        <v>322</v>
      </c>
      <c r="C4" s="224" t="s">
        <v>160</v>
      </c>
      <c r="D4" s="386" t="s">
        <v>323</v>
      </c>
      <c r="E4" s="219" t="s">
        <v>324</v>
      </c>
      <c r="F4" s="28"/>
      <c r="G4" s="160" t="s">
        <v>325</v>
      </c>
      <c r="H4" s="160" t="s">
        <v>325</v>
      </c>
      <c r="I4" s="156"/>
      <c r="J4" s="211"/>
      <c r="K4" s="214"/>
    </row>
    <row r="5" spans="1:15" ht="12" customHeight="1">
      <c r="A5" s="54"/>
      <c r="B5" s="55" t="s">
        <v>322</v>
      </c>
      <c r="C5" s="224" t="s">
        <v>160</v>
      </c>
      <c r="D5" s="386"/>
      <c r="E5" s="219" t="s">
        <v>326</v>
      </c>
      <c r="F5" s="28"/>
      <c r="G5" s="160" t="s">
        <v>325</v>
      </c>
      <c r="H5" s="160" t="s">
        <v>325</v>
      </c>
      <c r="I5" s="156"/>
      <c r="J5" s="211"/>
      <c r="K5" s="214"/>
    </row>
    <row r="6" spans="1:15" ht="12" customHeight="1">
      <c r="A6" s="54"/>
      <c r="B6" s="55" t="s">
        <v>322</v>
      </c>
      <c r="C6" s="224" t="s">
        <v>327</v>
      </c>
      <c r="D6" s="386"/>
      <c r="E6" s="219" t="s">
        <v>328</v>
      </c>
      <c r="F6" s="28"/>
      <c r="G6" s="160" t="s">
        <v>325</v>
      </c>
      <c r="H6" s="160" t="s">
        <v>325</v>
      </c>
      <c r="I6" s="156"/>
      <c r="J6" s="211"/>
      <c r="K6" s="214"/>
    </row>
    <row r="7" spans="1:15" ht="22.15" customHeight="1">
      <c r="A7" s="54"/>
      <c r="B7" s="55" t="s">
        <v>322</v>
      </c>
      <c r="C7" s="224" t="s">
        <v>92</v>
      </c>
      <c r="D7" s="386"/>
      <c r="E7" s="219" t="s">
        <v>329</v>
      </c>
      <c r="F7" s="28"/>
      <c r="G7" s="160" t="s">
        <v>325</v>
      </c>
      <c r="H7" s="160" t="s">
        <v>325</v>
      </c>
      <c r="I7" s="156"/>
      <c r="J7" s="211"/>
      <c r="K7" s="214"/>
    </row>
    <row r="8" spans="1:15" s="197" customFormat="1" ht="13.9">
      <c r="A8" s="206"/>
      <c r="B8" s="249" t="s">
        <v>322</v>
      </c>
      <c r="C8" s="224" t="s">
        <v>330</v>
      </c>
      <c r="D8" s="386"/>
      <c r="E8" s="219" t="s">
        <v>331</v>
      </c>
      <c r="F8" s="28"/>
      <c r="G8" s="160" t="s">
        <v>325</v>
      </c>
      <c r="H8" s="160" t="s">
        <v>325</v>
      </c>
      <c r="I8" s="207"/>
      <c r="J8" s="212"/>
      <c r="K8" s="215"/>
    </row>
    <row r="9" spans="1:15" s="197" customFormat="1" ht="13.9">
      <c r="A9" s="206"/>
      <c r="B9" s="249" t="s">
        <v>322</v>
      </c>
      <c r="C9" s="224" t="s">
        <v>330</v>
      </c>
      <c r="D9" s="386"/>
      <c r="E9" s="220" t="s">
        <v>332</v>
      </c>
      <c r="F9" s="28"/>
      <c r="G9" s="160" t="s">
        <v>325</v>
      </c>
      <c r="H9" s="160" t="s">
        <v>325</v>
      </c>
      <c r="I9" s="207"/>
      <c r="J9" s="212"/>
      <c r="K9" s="215"/>
    </row>
    <row r="10" spans="1:15" customFormat="1" ht="14.45">
      <c r="A10" s="385" t="s">
        <v>333</v>
      </c>
      <c r="B10" s="385"/>
      <c r="C10" s="385"/>
      <c r="D10" s="385"/>
      <c r="E10" s="385"/>
      <c r="F10" s="385"/>
      <c r="G10" s="385"/>
      <c r="H10" s="385"/>
      <c r="I10" s="385"/>
      <c r="J10" s="223"/>
      <c r="K10" s="223"/>
      <c r="L10" s="223"/>
      <c r="M10" s="223"/>
      <c r="N10" s="223"/>
      <c r="O10" s="223"/>
    </row>
    <row r="11" spans="1:15" s="197" customFormat="1" ht="42" customHeight="1">
      <c r="A11" s="53"/>
      <c r="B11" s="249" t="s">
        <v>322</v>
      </c>
      <c r="C11" s="224" t="s">
        <v>330</v>
      </c>
      <c r="D11" s="386" t="s">
        <v>334</v>
      </c>
      <c r="E11" s="224" t="s">
        <v>335</v>
      </c>
      <c r="F11" s="28"/>
      <c r="G11" s="208" t="s">
        <v>325</v>
      </c>
      <c r="H11" s="208" t="s">
        <v>325</v>
      </c>
      <c r="I11" s="209"/>
      <c r="J11" s="213"/>
      <c r="K11" s="216"/>
    </row>
    <row r="12" spans="1:15" s="197" customFormat="1" ht="13.9">
      <c r="A12" s="206"/>
      <c r="B12" s="249" t="s">
        <v>322</v>
      </c>
      <c r="C12" s="224" t="s">
        <v>330</v>
      </c>
      <c r="D12" s="386"/>
      <c r="E12" s="224" t="s">
        <v>328</v>
      </c>
      <c r="F12" s="28"/>
      <c r="G12" s="208" t="s">
        <v>325</v>
      </c>
      <c r="H12" s="208" t="s">
        <v>325</v>
      </c>
      <c r="I12" s="207"/>
      <c r="J12" s="212"/>
      <c r="K12" s="215"/>
    </row>
    <row r="13" spans="1:15" s="197" customFormat="1" ht="13.9">
      <c r="A13" s="206"/>
      <c r="B13" s="249" t="s">
        <v>322</v>
      </c>
      <c r="C13" s="224" t="s">
        <v>92</v>
      </c>
      <c r="D13" s="386"/>
      <c r="E13" s="224" t="s">
        <v>329</v>
      </c>
      <c r="F13" s="28"/>
      <c r="G13" s="208" t="s">
        <v>325</v>
      </c>
      <c r="H13" s="208" t="s">
        <v>325</v>
      </c>
      <c r="I13" s="207"/>
      <c r="J13" s="212"/>
      <c r="K13" s="215"/>
    </row>
    <row r="14" spans="1:15" s="197" customFormat="1" ht="13.9">
      <c r="A14" s="25"/>
      <c r="B14" s="249" t="s">
        <v>322</v>
      </c>
      <c r="C14" s="224" t="s">
        <v>330</v>
      </c>
      <c r="D14" s="386"/>
      <c r="E14" s="219" t="s">
        <v>331</v>
      </c>
      <c r="F14" s="28"/>
      <c r="G14" s="208" t="s">
        <v>325</v>
      </c>
      <c r="H14" s="208" t="s">
        <v>325</v>
      </c>
      <c r="I14" s="209"/>
      <c r="J14" s="203"/>
      <c r="K14" s="217"/>
      <c r="L14" s="210"/>
    </row>
    <row r="15" spans="1:15" s="197" customFormat="1" ht="13.9">
      <c r="A15" s="206"/>
      <c r="B15" s="249" t="s">
        <v>322</v>
      </c>
      <c r="C15" s="224" t="s">
        <v>330</v>
      </c>
      <c r="D15" s="386"/>
      <c r="E15" s="224" t="s">
        <v>332</v>
      </c>
      <c r="F15" s="28"/>
      <c r="G15" s="208" t="s">
        <v>325</v>
      </c>
      <c r="H15" s="208" t="s">
        <v>325</v>
      </c>
      <c r="I15" s="207"/>
      <c r="J15" s="212"/>
      <c r="K15" s="215"/>
    </row>
    <row r="16" spans="1:15" ht="13.15"/>
  </sheetData>
  <protectedRanges>
    <protectedRange password="C6D0" sqref="G2 G1" name="Date and Start Time_8_1_2_1" securityDescriptor="O:WDG:WDD:(A;;CC;;;S-1-5-21-53694668-648618266-1194094237-263271)"/>
  </protectedRanges>
  <mergeCells count="5">
    <mergeCell ref="A10:I10"/>
    <mergeCell ref="D11:D15"/>
    <mergeCell ref="D4:D9"/>
    <mergeCell ref="A2:I2"/>
    <mergeCell ref="A3:J3"/>
  </mergeCells>
  <conditionalFormatting sqref="B1:B2 B4:B15">
    <cfRule type="cellIs" dxfId="4" priority="1" stopIfTrue="1" operator="equal">
      <formula>"Completed"</formula>
    </cfRule>
    <cfRule type="cellIs" dxfId="3" priority="2" stopIfTrue="1" operator="equal">
      <formula>"In Progress"</formula>
    </cfRule>
    <cfRule type="cellIs" dxfId="2" priority="3" stopIfTrue="1" operator="equal">
      <formula>"Delayed"</formula>
    </cfRule>
  </conditionalFormatting>
  <dataValidations count="1">
    <dataValidation type="list" allowBlank="1" showInputMessage="1" showErrorMessage="1" sqref="B4:B15" xr:uid="{00000000-0002-0000-0B00-000000000000}">
      <formula1>"Pending, In Progress, Completed, Delayed, N/A"</formula1>
    </dataValidation>
  </dataValidations>
  <pageMargins left="0.7" right="0.7" top="0.75" bottom="0.75" header="0.3" footer="0.3"/>
  <pageSetup orientation="portrait" r:id="rId1"/>
  <headerFooter>
    <oddFooter>&amp;C&amp;1#&amp;"Arial"&amp;7&amp;K000000Sensitivity: Internal &amp; Restricted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9"/>
  <sheetViews>
    <sheetView workbookViewId="0">
      <selection activeCell="H22" sqref="H22"/>
    </sheetView>
  </sheetViews>
  <sheetFormatPr defaultColWidth="8.5703125" defaultRowHeight="13.15"/>
  <cols>
    <col min="1" max="1" width="8.5703125" style="17"/>
    <col min="2" max="2" width="41.5703125" style="17" bestFit="1" customWidth="1"/>
    <col min="3" max="3" width="26.28515625" style="17" customWidth="1"/>
    <col min="4" max="16384" width="8.5703125" style="17"/>
  </cols>
  <sheetData>
    <row r="1" spans="1:3">
      <c r="A1" s="56" t="s">
        <v>336</v>
      </c>
      <c r="B1" s="56" t="s">
        <v>337</v>
      </c>
      <c r="C1" s="56" t="s">
        <v>338</v>
      </c>
    </row>
    <row r="2" spans="1:3">
      <c r="B2" s="17" t="s">
        <v>339</v>
      </c>
    </row>
    <row r="3" spans="1:3">
      <c r="B3" s="17" t="s">
        <v>340</v>
      </c>
    </row>
    <row r="4" spans="1:3">
      <c r="B4" s="17" t="s">
        <v>341</v>
      </c>
    </row>
    <row r="5" spans="1:3">
      <c r="B5" s="17" t="s">
        <v>342</v>
      </c>
    </row>
    <row r="6" spans="1:3">
      <c r="B6" s="17" t="s">
        <v>343</v>
      </c>
    </row>
    <row r="7" spans="1:3">
      <c r="B7" s="17" t="s">
        <v>344</v>
      </c>
    </row>
    <row r="8" spans="1:3">
      <c r="B8" s="17" t="s">
        <v>345</v>
      </c>
    </row>
    <row r="9" spans="1:3">
      <c r="B9" s="17" t="s">
        <v>346</v>
      </c>
    </row>
  </sheetData>
  <pageMargins left="0.7" right="0.7" top="0.75" bottom="0.75" header="0.3" footer="0.3"/>
  <pageSetup orientation="portrait" r:id="rId1"/>
  <headerFooter>
    <oddFooter>&amp;C&amp;1#&amp;"Arial"&amp;7&amp;K000000Sensitivity: Internal &amp; Restricted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4143B-A4A9-41D5-AA12-029A90F19386}">
  <dimension ref="A1:AG74"/>
  <sheetViews>
    <sheetView workbookViewId="0">
      <selection activeCell="A2" sqref="A2"/>
    </sheetView>
  </sheetViews>
  <sheetFormatPr defaultRowHeight="14.45"/>
  <cols>
    <col min="1" max="1" width="11.7109375" bestFit="1" customWidth="1"/>
    <col min="2" max="2" width="17.28515625" bestFit="1" customWidth="1"/>
    <col min="3" max="3" width="11" bestFit="1" customWidth="1"/>
    <col min="4" max="4" width="16.42578125" bestFit="1" customWidth="1"/>
    <col min="5" max="5" width="13.5703125" bestFit="1" customWidth="1"/>
    <col min="6" max="6" width="10.7109375" bestFit="1" customWidth="1"/>
    <col min="7" max="7" width="41" bestFit="1" customWidth="1"/>
    <col min="8" max="8" width="15.7109375" bestFit="1" customWidth="1"/>
    <col min="9" max="9" width="16.28515625" bestFit="1" customWidth="1"/>
    <col min="10" max="10" width="28.28515625" bestFit="1" customWidth="1"/>
    <col min="11" max="11" width="20.42578125" bestFit="1" customWidth="1"/>
    <col min="12" max="12" width="9.5703125" bestFit="1" customWidth="1"/>
    <col min="13" max="13" width="26.28515625" bestFit="1" customWidth="1"/>
    <col min="14" max="14" width="35.28515625" bestFit="1" customWidth="1"/>
    <col min="15" max="15" width="12.5703125" bestFit="1" customWidth="1"/>
    <col min="16" max="16" width="15" bestFit="1" customWidth="1"/>
    <col min="17" max="17" width="16.7109375" bestFit="1" customWidth="1"/>
    <col min="18" max="18" width="29.7109375" bestFit="1" customWidth="1"/>
    <col min="19" max="19" width="19" bestFit="1" customWidth="1"/>
    <col min="20" max="20" width="20.28515625" bestFit="1" customWidth="1"/>
    <col min="21" max="21" width="20.5703125" bestFit="1" customWidth="1"/>
    <col min="22" max="22" width="15.5703125" bestFit="1" customWidth="1"/>
    <col min="23" max="23" width="16.7109375" bestFit="1" customWidth="1"/>
    <col min="24" max="24" width="16.5703125" bestFit="1" customWidth="1"/>
    <col min="25" max="25" width="8.7109375" bestFit="1" customWidth="1"/>
    <col min="26" max="26" width="34.28515625" bestFit="1" customWidth="1"/>
    <col min="27" max="27" width="25" bestFit="1" customWidth="1"/>
    <col min="28" max="28" width="20.28515625" bestFit="1" customWidth="1"/>
    <col min="29" max="29" width="20" bestFit="1" customWidth="1"/>
    <col min="30" max="30" width="11" bestFit="1" customWidth="1"/>
    <col min="31" max="31" width="20.7109375" bestFit="1" customWidth="1"/>
    <col min="32" max="32" width="14.42578125" bestFit="1" customWidth="1"/>
    <col min="33" max="33" width="8.28515625" bestFit="1" customWidth="1"/>
  </cols>
  <sheetData>
    <row r="1" spans="1:33">
      <c r="A1" s="259" t="s">
        <v>347</v>
      </c>
      <c r="B1" s="260" t="s">
        <v>348</v>
      </c>
      <c r="C1" s="260" t="s">
        <v>349</v>
      </c>
      <c r="D1" s="260" t="s">
        <v>350</v>
      </c>
      <c r="E1" s="260" t="s">
        <v>351</v>
      </c>
      <c r="F1" s="260" t="s">
        <v>352</v>
      </c>
      <c r="G1" s="260" t="s">
        <v>353</v>
      </c>
      <c r="H1" s="260" t="s">
        <v>354</v>
      </c>
      <c r="I1" s="260" t="s">
        <v>355</v>
      </c>
      <c r="J1" s="260" t="s">
        <v>356</v>
      </c>
      <c r="K1" s="260" t="s">
        <v>357</v>
      </c>
      <c r="L1" s="260" t="s">
        <v>358</v>
      </c>
      <c r="M1" s="261" t="s">
        <v>359</v>
      </c>
      <c r="N1" s="261" t="s">
        <v>360</v>
      </c>
      <c r="O1" s="261" t="s">
        <v>361</v>
      </c>
      <c r="P1" s="259" t="s">
        <v>362</v>
      </c>
      <c r="Q1" s="262" t="s">
        <v>363</v>
      </c>
      <c r="R1" s="259" t="s">
        <v>364</v>
      </c>
      <c r="S1" s="263" t="s">
        <v>365</v>
      </c>
      <c r="T1" s="264" t="s">
        <v>366</v>
      </c>
      <c r="U1" s="264" t="s">
        <v>367</v>
      </c>
      <c r="V1" s="264" t="s">
        <v>368</v>
      </c>
      <c r="W1" s="265" t="s">
        <v>369</v>
      </c>
      <c r="X1" s="265" t="s">
        <v>370</v>
      </c>
      <c r="Y1" s="265" t="s">
        <v>371</v>
      </c>
      <c r="Z1" s="265" t="s">
        <v>372</v>
      </c>
      <c r="AA1" s="265" t="s">
        <v>373</v>
      </c>
      <c r="AB1" s="265" t="s">
        <v>374</v>
      </c>
      <c r="AC1" s="265" t="s">
        <v>375</v>
      </c>
      <c r="AD1" s="266" t="s">
        <v>376</v>
      </c>
    </row>
    <row r="2" spans="1:33">
      <c r="A2" s="258"/>
      <c r="B2" s="12"/>
      <c r="C2" s="257"/>
      <c r="D2" s="256"/>
      <c r="E2" s="256"/>
      <c r="F2" s="250"/>
      <c r="G2" s="258"/>
      <c r="H2" s="12"/>
      <c r="I2" s="12"/>
      <c r="J2" s="258"/>
      <c r="K2" s="267"/>
      <c r="L2" s="267"/>
      <c r="M2" s="267"/>
      <c r="N2" s="258"/>
      <c r="O2" s="267"/>
      <c r="P2" s="267"/>
      <c r="Q2" s="267"/>
      <c r="R2" s="267"/>
      <c r="S2" s="267"/>
      <c r="T2" s="258"/>
      <c r="U2" s="269"/>
      <c r="V2" s="268"/>
      <c r="W2" s="267"/>
      <c r="X2" s="255"/>
      <c r="Y2" s="267"/>
      <c r="Z2" s="267"/>
      <c r="AA2" s="267"/>
      <c r="AB2" s="267"/>
      <c r="AC2" s="267"/>
      <c r="AD2" s="12"/>
      <c r="AE2" s="12"/>
      <c r="AF2" s="12"/>
      <c r="AG2" s="12"/>
    </row>
    <row r="3" spans="1:33">
      <c r="A3" s="258"/>
      <c r="B3" s="12"/>
      <c r="C3" s="257"/>
      <c r="D3" s="256"/>
      <c r="E3" s="256"/>
      <c r="F3" s="250"/>
      <c r="G3" s="258"/>
      <c r="H3" s="12"/>
      <c r="I3" s="12"/>
      <c r="J3" s="258"/>
      <c r="K3" s="267"/>
      <c r="L3" s="267"/>
      <c r="M3" s="267"/>
      <c r="N3" s="258"/>
      <c r="O3" s="267"/>
      <c r="P3" s="267"/>
      <c r="Q3" s="267"/>
      <c r="R3" s="267"/>
      <c r="S3" s="267"/>
      <c r="T3" s="258"/>
      <c r="U3" s="269"/>
      <c r="V3" s="268"/>
      <c r="W3" s="267"/>
      <c r="X3" s="255"/>
      <c r="Y3" s="267"/>
      <c r="Z3" s="267"/>
      <c r="AA3" s="267"/>
      <c r="AB3" s="267"/>
      <c r="AC3" s="267"/>
      <c r="AD3" s="12"/>
      <c r="AE3" s="12"/>
      <c r="AF3" s="12"/>
      <c r="AG3" s="12"/>
    </row>
    <row r="4" spans="1:33">
      <c r="A4" s="258"/>
      <c r="B4" s="12"/>
      <c r="C4" s="257"/>
      <c r="D4" s="256"/>
      <c r="E4" s="256"/>
      <c r="F4" s="250"/>
      <c r="G4" s="258"/>
      <c r="H4" s="12"/>
      <c r="I4" s="12"/>
      <c r="J4" s="258"/>
      <c r="K4" s="267"/>
      <c r="L4" s="267"/>
      <c r="M4" s="267"/>
      <c r="N4" s="258"/>
      <c r="O4" s="267"/>
      <c r="P4" s="267"/>
      <c r="Q4" s="267"/>
      <c r="R4" s="267"/>
      <c r="S4" s="267"/>
      <c r="T4" s="258"/>
      <c r="U4" s="269"/>
      <c r="V4" s="268"/>
      <c r="W4" s="267"/>
      <c r="X4" s="255"/>
      <c r="Y4" s="267"/>
      <c r="Z4" s="267"/>
      <c r="AA4" s="267"/>
      <c r="AB4" s="267"/>
      <c r="AC4" s="267"/>
      <c r="AD4" s="12"/>
      <c r="AE4" s="12"/>
      <c r="AF4" s="12"/>
      <c r="AG4" s="12"/>
    </row>
    <row r="5" spans="1:33">
      <c r="A5" s="258"/>
      <c r="B5" s="12"/>
      <c r="C5" s="257"/>
      <c r="D5" s="256"/>
      <c r="E5" s="256"/>
      <c r="F5" s="250"/>
      <c r="G5" s="258"/>
      <c r="H5" s="12"/>
      <c r="I5" s="12"/>
      <c r="J5" s="258"/>
      <c r="K5" s="267"/>
      <c r="L5" s="267"/>
      <c r="M5" s="267"/>
      <c r="N5" s="258"/>
      <c r="O5" s="267"/>
      <c r="P5" s="267"/>
      <c r="Q5" s="267"/>
      <c r="R5" s="267"/>
      <c r="S5" s="267"/>
      <c r="T5" s="258"/>
      <c r="U5" s="269"/>
      <c r="V5" s="268"/>
      <c r="W5" s="267"/>
      <c r="X5" s="255"/>
      <c r="Y5" s="267"/>
      <c r="Z5" s="267"/>
      <c r="AA5" s="267"/>
      <c r="AB5" s="267"/>
      <c r="AC5" s="267"/>
      <c r="AD5" s="12"/>
      <c r="AE5" s="12"/>
      <c r="AF5" s="12"/>
      <c r="AG5" s="12"/>
    </row>
    <row r="6" spans="1:33">
      <c r="A6" s="258"/>
      <c r="B6" s="12"/>
      <c r="C6" s="257"/>
      <c r="D6" s="256"/>
      <c r="E6" s="256"/>
      <c r="F6" s="250"/>
      <c r="G6" s="258"/>
      <c r="H6" s="12"/>
      <c r="I6" s="12"/>
      <c r="J6" s="258"/>
      <c r="K6" s="267"/>
      <c r="L6" s="267"/>
      <c r="M6" s="267"/>
      <c r="N6" s="258"/>
      <c r="O6" s="267"/>
      <c r="P6" s="267"/>
      <c r="Q6" s="267"/>
      <c r="R6" s="267"/>
      <c r="S6" s="267"/>
      <c r="T6" s="258"/>
      <c r="U6" s="269"/>
      <c r="V6" s="268"/>
      <c r="W6" s="267"/>
      <c r="X6" s="255"/>
      <c r="Y6" s="267"/>
      <c r="Z6" s="267"/>
      <c r="AA6" s="267"/>
      <c r="AB6" s="267"/>
      <c r="AC6" s="267"/>
      <c r="AD6" s="12"/>
      <c r="AE6" s="12"/>
      <c r="AF6" s="12"/>
      <c r="AG6" s="12"/>
    </row>
    <row r="7" spans="1:33">
      <c r="A7" s="258"/>
      <c r="B7" s="12"/>
      <c r="C7" s="257"/>
      <c r="D7" s="256"/>
      <c r="E7" s="256"/>
      <c r="F7" s="250"/>
      <c r="G7" s="258"/>
      <c r="H7" s="12"/>
      <c r="I7" s="12"/>
      <c r="J7" s="258"/>
      <c r="K7" s="267"/>
      <c r="L7" s="267"/>
      <c r="M7" s="267"/>
      <c r="N7" s="258"/>
      <c r="O7" s="267"/>
      <c r="P7" s="267"/>
      <c r="Q7" s="267"/>
      <c r="R7" s="267"/>
      <c r="S7" s="267"/>
      <c r="T7" s="258"/>
      <c r="U7" s="269"/>
      <c r="V7" s="268"/>
      <c r="W7" s="267"/>
      <c r="X7" s="255"/>
      <c r="Y7" s="267"/>
      <c r="Z7" s="267"/>
      <c r="AA7" s="267"/>
      <c r="AB7" s="267"/>
      <c r="AC7" s="267"/>
      <c r="AD7" s="12"/>
      <c r="AE7" s="12"/>
      <c r="AF7" s="12"/>
      <c r="AG7" s="12"/>
    </row>
    <row r="8" spans="1:33">
      <c r="A8" s="258"/>
      <c r="B8" s="12"/>
      <c r="C8" s="257"/>
      <c r="D8" s="256"/>
      <c r="E8" s="256"/>
      <c r="F8" s="250"/>
      <c r="G8" s="258"/>
      <c r="H8" s="12"/>
      <c r="I8" s="12"/>
      <c r="J8" s="258"/>
      <c r="K8" s="267"/>
      <c r="L8" s="267"/>
      <c r="M8" s="267"/>
      <c r="N8" s="258"/>
      <c r="O8" s="267"/>
      <c r="P8" s="267"/>
      <c r="Q8" s="267"/>
      <c r="R8" s="267"/>
      <c r="S8" s="267"/>
      <c r="T8" s="258"/>
      <c r="U8" s="269"/>
      <c r="V8" s="268"/>
      <c r="W8" s="267"/>
      <c r="X8" s="255"/>
      <c r="Y8" s="267"/>
      <c r="Z8" s="267"/>
      <c r="AA8" s="267"/>
      <c r="AB8" s="267"/>
      <c r="AC8" s="267"/>
      <c r="AD8" s="12"/>
      <c r="AE8" s="12"/>
      <c r="AF8" s="12"/>
      <c r="AG8" s="12"/>
    </row>
    <row r="9" spans="1:33">
      <c r="A9" s="258"/>
      <c r="B9" s="12"/>
      <c r="C9" s="257"/>
      <c r="D9" s="256"/>
      <c r="E9" s="256"/>
      <c r="F9" s="250"/>
      <c r="G9" s="258"/>
      <c r="H9" s="12"/>
      <c r="I9" s="12"/>
      <c r="J9" s="258"/>
      <c r="K9" s="267"/>
      <c r="L9" s="267"/>
      <c r="M9" s="267"/>
      <c r="N9" s="258"/>
      <c r="O9" s="267"/>
      <c r="P9" s="267"/>
      <c r="Q9" s="267"/>
      <c r="R9" s="267"/>
      <c r="S9" s="267"/>
      <c r="T9" s="258"/>
      <c r="U9" s="269"/>
      <c r="V9" s="268"/>
      <c r="W9" s="267"/>
      <c r="X9" s="255"/>
      <c r="Y9" s="267"/>
      <c r="Z9" s="267"/>
      <c r="AA9" s="267"/>
      <c r="AB9" s="267"/>
      <c r="AC9" s="267"/>
      <c r="AD9" s="12"/>
      <c r="AE9" s="12"/>
      <c r="AF9" s="12"/>
      <c r="AG9" s="12"/>
    </row>
    <row r="10" spans="1:33">
      <c r="A10" s="258"/>
      <c r="B10" s="12"/>
      <c r="C10" s="257"/>
      <c r="D10" s="258"/>
      <c r="E10" s="258"/>
      <c r="F10" s="250"/>
      <c r="G10" s="256"/>
      <c r="H10" s="256"/>
      <c r="I10" s="12"/>
      <c r="J10" s="258"/>
      <c r="K10" s="267"/>
      <c r="L10" s="267"/>
      <c r="M10" s="267"/>
      <c r="N10" s="258"/>
      <c r="O10" s="267"/>
      <c r="P10" s="267"/>
      <c r="Q10" s="267"/>
      <c r="R10" s="267"/>
      <c r="S10" s="267"/>
      <c r="T10" s="258"/>
      <c r="U10" s="258"/>
      <c r="V10" s="258"/>
      <c r="W10" s="267"/>
      <c r="X10" s="255"/>
      <c r="Y10" s="267"/>
      <c r="Z10" s="267"/>
      <c r="AA10" s="267"/>
      <c r="AB10" s="267"/>
      <c r="AC10" s="267"/>
      <c r="AD10" s="12"/>
      <c r="AE10" s="12"/>
      <c r="AF10" s="12"/>
      <c r="AG10" s="12"/>
    </row>
    <row r="11" spans="1:33">
      <c r="A11" s="258"/>
      <c r="B11" s="12"/>
      <c r="C11" s="257"/>
      <c r="D11" s="258"/>
      <c r="E11" s="258"/>
      <c r="F11" s="250"/>
      <c r="G11" s="256"/>
      <c r="H11" s="256"/>
      <c r="I11" s="12"/>
      <c r="J11" s="258"/>
      <c r="K11" s="267"/>
      <c r="L11" s="267"/>
      <c r="M11" s="267"/>
      <c r="N11" s="258"/>
      <c r="O11" s="267"/>
      <c r="P11" s="267"/>
      <c r="Q11" s="267"/>
      <c r="R11" s="267"/>
      <c r="S11" s="267"/>
      <c r="T11" s="258"/>
      <c r="U11" s="258"/>
      <c r="V11" s="258"/>
      <c r="W11" s="267"/>
      <c r="X11" s="255"/>
      <c r="Y11" s="267"/>
      <c r="Z11" s="267"/>
      <c r="AA11" s="267"/>
      <c r="AB11" s="267"/>
      <c r="AC11" s="267"/>
      <c r="AD11" s="12"/>
      <c r="AE11" s="12"/>
      <c r="AF11" s="12"/>
      <c r="AG11" s="12"/>
    </row>
    <row r="12" spans="1:33">
      <c r="A12" s="258"/>
      <c r="B12" s="12"/>
      <c r="C12" s="257"/>
      <c r="D12" s="258"/>
      <c r="E12" s="258"/>
      <c r="F12" s="250"/>
      <c r="G12" s="256"/>
      <c r="H12" s="256"/>
      <c r="I12" s="12"/>
      <c r="J12" s="258"/>
      <c r="K12" s="267"/>
      <c r="L12" s="267"/>
      <c r="M12" s="267"/>
      <c r="N12" s="258"/>
      <c r="O12" s="267"/>
      <c r="P12" s="267"/>
      <c r="Q12" s="267"/>
      <c r="R12" s="267"/>
      <c r="S12" s="267"/>
      <c r="T12" s="258"/>
      <c r="U12" s="258"/>
      <c r="V12" s="258"/>
      <c r="W12" s="267"/>
      <c r="X12" s="255"/>
      <c r="Y12" s="267"/>
      <c r="Z12" s="267"/>
      <c r="AA12" s="267"/>
      <c r="AB12" s="267"/>
      <c r="AC12" s="267"/>
      <c r="AD12" s="12"/>
      <c r="AE12" s="12"/>
      <c r="AF12" s="12"/>
      <c r="AG12" s="12"/>
    </row>
    <row r="13" spans="1:33">
      <c r="A13" s="258"/>
      <c r="B13" s="12"/>
      <c r="C13" s="257"/>
      <c r="D13" s="258"/>
      <c r="E13" s="258"/>
      <c r="F13" s="250"/>
      <c r="G13" s="256"/>
      <c r="H13" s="256"/>
      <c r="I13" s="12"/>
      <c r="J13" s="258"/>
      <c r="K13" s="267"/>
      <c r="L13" s="267"/>
      <c r="M13" s="267"/>
      <c r="N13" s="258"/>
      <c r="O13" s="267"/>
      <c r="P13" s="267"/>
      <c r="Q13" s="267"/>
      <c r="R13" s="267"/>
      <c r="S13" s="267"/>
      <c r="T13" s="258"/>
      <c r="U13" s="258"/>
      <c r="V13" s="258"/>
      <c r="W13" s="267"/>
      <c r="X13" s="255"/>
      <c r="Y13" s="267"/>
      <c r="Z13" s="267"/>
      <c r="AA13" s="267"/>
      <c r="AB13" s="267"/>
      <c r="AC13" s="267"/>
      <c r="AD13" s="12"/>
      <c r="AE13" s="12"/>
      <c r="AF13" s="12"/>
      <c r="AG13" s="12"/>
    </row>
    <row r="14" spans="1:33">
      <c r="A14" s="258"/>
      <c r="B14" s="12"/>
      <c r="C14" s="257"/>
      <c r="D14" s="258"/>
      <c r="E14" s="258"/>
      <c r="F14" s="250"/>
      <c r="G14" s="256"/>
      <c r="H14" s="256"/>
      <c r="I14" s="12"/>
      <c r="J14" s="258"/>
      <c r="K14" s="267"/>
      <c r="L14" s="267"/>
      <c r="M14" s="267"/>
      <c r="N14" s="258"/>
      <c r="O14" s="267"/>
      <c r="P14" s="267"/>
      <c r="Q14" s="267"/>
      <c r="R14" s="267"/>
      <c r="S14" s="267"/>
      <c r="T14" s="258"/>
      <c r="U14" s="258"/>
      <c r="V14" s="258"/>
      <c r="W14" s="267"/>
      <c r="X14" s="255"/>
      <c r="Y14" s="267"/>
      <c r="Z14" s="267"/>
      <c r="AA14" s="267"/>
      <c r="AB14" s="267"/>
      <c r="AC14" s="267"/>
      <c r="AD14" s="12"/>
      <c r="AE14" s="12"/>
      <c r="AF14" s="12"/>
      <c r="AG14" s="12"/>
    </row>
    <row r="15" spans="1:33">
      <c r="A15" s="258"/>
      <c r="B15" s="12"/>
      <c r="C15" s="257"/>
      <c r="D15" s="258"/>
      <c r="E15" s="258"/>
      <c r="F15" s="250"/>
      <c r="G15" s="256"/>
      <c r="H15" s="256"/>
      <c r="I15" s="12"/>
      <c r="J15" s="258"/>
      <c r="K15" s="267"/>
      <c r="L15" s="267"/>
      <c r="M15" s="267"/>
      <c r="N15" s="258"/>
      <c r="O15" s="267"/>
      <c r="P15" s="267"/>
      <c r="Q15" s="267"/>
      <c r="R15" s="267"/>
      <c r="S15" s="267"/>
      <c r="T15" s="258"/>
      <c r="U15" s="258"/>
      <c r="V15" s="258"/>
      <c r="W15" s="267"/>
      <c r="X15" s="255"/>
      <c r="Y15" s="267"/>
      <c r="Z15" s="267"/>
      <c r="AA15" s="267"/>
      <c r="AB15" s="267"/>
      <c r="AC15" s="267"/>
      <c r="AD15" s="12"/>
      <c r="AE15" s="12"/>
      <c r="AF15" s="12"/>
      <c r="AG15" s="12"/>
    </row>
    <row r="16" spans="1:33">
      <c r="A16" s="258"/>
      <c r="B16" s="12"/>
      <c r="C16" s="257"/>
      <c r="D16" s="258"/>
      <c r="E16" s="258"/>
      <c r="F16" s="250"/>
      <c r="G16" s="256"/>
      <c r="H16" s="256"/>
      <c r="I16" s="12"/>
      <c r="J16" s="258"/>
      <c r="K16" s="267"/>
      <c r="L16" s="267"/>
      <c r="M16" s="267"/>
      <c r="N16" s="258"/>
      <c r="O16" s="267"/>
      <c r="P16" s="267"/>
      <c r="Q16" s="267"/>
      <c r="R16" s="267"/>
      <c r="S16" s="267"/>
      <c r="T16" s="258"/>
      <c r="U16" s="258"/>
      <c r="V16" s="258"/>
      <c r="W16" s="267"/>
      <c r="X16" s="255"/>
      <c r="Y16" s="267"/>
      <c r="Z16" s="267"/>
      <c r="AA16" s="267"/>
      <c r="AB16" s="267"/>
      <c r="AC16" s="267"/>
      <c r="AD16" s="12"/>
      <c r="AE16" s="12"/>
      <c r="AF16" s="12"/>
      <c r="AG16" s="12"/>
    </row>
    <row r="17" spans="1:33">
      <c r="A17" s="258"/>
      <c r="B17" s="12"/>
      <c r="C17" s="257"/>
      <c r="D17" s="258"/>
      <c r="E17" s="258"/>
      <c r="F17" s="250"/>
      <c r="G17" s="256"/>
      <c r="H17" s="256"/>
      <c r="I17" s="12"/>
      <c r="J17" s="258"/>
      <c r="K17" s="267"/>
      <c r="L17" s="267"/>
      <c r="M17" s="267"/>
      <c r="N17" s="258"/>
      <c r="O17" s="267"/>
      <c r="P17" s="267"/>
      <c r="Q17" s="267"/>
      <c r="R17" s="267"/>
      <c r="S17" s="267"/>
      <c r="T17" s="258"/>
      <c r="U17" s="258"/>
      <c r="V17" s="258"/>
      <c r="W17" s="267"/>
      <c r="X17" s="255"/>
      <c r="Y17" s="267"/>
      <c r="Z17" s="267"/>
      <c r="AA17" s="267"/>
      <c r="AB17" s="267"/>
      <c r="AC17" s="267"/>
      <c r="AD17" s="12"/>
      <c r="AE17" s="12"/>
      <c r="AF17" s="12"/>
      <c r="AG17" s="12"/>
    </row>
    <row r="18" spans="1:33">
      <c r="A18" s="258"/>
      <c r="B18" s="12"/>
      <c r="C18" s="257"/>
      <c r="D18" s="258"/>
      <c r="E18" s="258"/>
      <c r="F18" s="250"/>
      <c r="G18" s="256"/>
      <c r="H18" s="256"/>
      <c r="I18" s="12"/>
      <c r="J18" s="258"/>
      <c r="K18" s="267"/>
      <c r="L18" s="267"/>
      <c r="M18" s="267"/>
      <c r="N18" s="258"/>
      <c r="O18" s="267"/>
      <c r="P18" s="267"/>
      <c r="Q18" s="267"/>
      <c r="R18" s="267"/>
      <c r="S18" s="267"/>
      <c r="T18" s="258"/>
      <c r="U18" s="258"/>
      <c r="V18" s="258"/>
      <c r="W18" s="267"/>
      <c r="X18" s="255"/>
      <c r="Y18" s="267"/>
      <c r="Z18" s="267"/>
      <c r="AA18" s="267"/>
      <c r="AB18" s="267"/>
      <c r="AC18" s="267"/>
      <c r="AD18" s="12"/>
      <c r="AE18" s="12"/>
      <c r="AF18" s="12"/>
      <c r="AG18" s="12"/>
    </row>
    <row r="19" spans="1:33">
      <c r="A19" s="258"/>
      <c r="B19" s="12"/>
      <c r="C19" s="257"/>
      <c r="D19" s="258"/>
      <c r="E19" s="258"/>
      <c r="F19" s="250"/>
      <c r="G19" s="256"/>
      <c r="H19" s="256"/>
      <c r="I19" s="12"/>
      <c r="J19" s="258"/>
      <c r="K19" s="267"/>
      <c r="L19" s="267"/>
      <c r="M19" s="267"/>
      <c r="N19" s="258"/>
      <c r="O19" s="267"/>
      <c r="P19" s="267"/>
      <c r="Q19" s="267"/>
      <c r="R19" s="267"/>
      <c r="S19" s="267"/>
      <c r="T19" s="258"/>
      <c r="U19" s="258"/>
      <c r="V19" s="258"/>
      <c r="W19" s="267"/>
      <c r="X19" s="255"/>
      <c r="Y19" s="267"/>
      <c r="Z19" s="267"/>
      <c r="AA19" s="267"/>
      <c r="AB19" s="267"/>
      <c r="AC19" s="267"/>
      <c r="AD19" s="12"/>
      <c r="AE19" s="12"/>
      <c r="AF19" s="12"/>
      <c r="AG19" s="12"/>
    </row>
    <row r="20" spans="1:33">
      <c r="A20" s="258"/>
      <c r="B20" s="12"/>
      <c r="C20" s="257"/>
      <c r="D20" s="258"/>
      <c r="E20" s="258"/>
      <c r="F20" s="250"/>
      <c r="G20" s="256"/>
      <c r="H20" s="256"/>
      <c r="I20" s="12"/>
      <c r="J20" s="258"/>
      <c r="K20" s="267"/>
      <c r="L20" s="267"/>
      <c r="M20" s="267"/>
      <c r="N20" s="258"/>
      <c r="O20" s="267"/>
      <c r="P20" s="267"/>
      <c r="Q20" s="267"/>
      <c r="R20" s="267"/>
      <c r="S20" s="267"/>
      <c r="T20" s="258"/>
      <c r="U20" s="258"/>
      <c r="V20" s="258"/>
      <c r="W20" s="267"/>
      <c r="X20" s="255"/>
      <c r="Y20" s="267"/>
      <c r="Z20" s="267"/>
      <c r="AA20" s="267"/>
      <c r="AB20" s="267"/>
      <c r="AC20" s="267"/>
      <c r="AD20" s="12"/>
      <c r="AE20" s="12"/>
      <c r="AF20" s="12"/>
      <c r="AG20" s="12"/>
    </row>
    <row r="21" spans="1:33">
      <c r="A21" s="258"/>
      <c r="B21" s="12"/>
      <c r="C21" s="257"/>
      <c r="D21" s="258"/>
      <c r="E21" s="258"/>
      <c r="F21" s="250"/>
      <c r="G21" s="256"/>
      <c r="H21" s="256"/>
      <c r="I21" s="12"/>
      <c r="J21" s="258"/>
      <c r="K21" s="267"/>
      <c r="L21" s="267"/>
      <c r="M21" s="267"/>
      <c r="N21" s="258"/>
      <c r="O21" s="267"/>
      <c r="P21" s="267"/>
      <c r="Q21" s="267"/>
      <c r="R21" s="267"/>
      <c r="S21" s="267"/>
      <c r="T21" s="258"/>
      <c r="U21" s="258"/>
      <c r="V21" s="258"/>
      <c r="W21" s="267"/>
      <c r="X21" s="255"/>
      <c r="Y21" s="267"/>
      <c r="Z21" s="267"/>
      <c r="AA21" s="267"/>
      <c r="AB21" s="267"/>
      <c r="AC21" s="267"/>
      <c r="AD21" s="12"/>
      <c r="AE21" s="12"/>
      <c r="AF21" s="12"/>
      <c r="AG21" s="12"/>
    </row>
    <row r="22" spans="1:33">
      <c r="A22" s="258"/>
      <c r="B22" s="12"/>
      <c r="C22" s="257"/>
      <c r="D22" s="258"/>
      <c r="E22" s="258"/>
      <c r="F22" s="250"/>
      <c r="G22" s="256"/>
      <c r="H22" s="256"/>
      <c r="I22" s="12"/>
      <c r="J22" s="258"/>
      <c r="K22" s="267"/>
      <c r="L22" s="267"/>
      <c r="M22" s="267"/>
      <c r="N22" s="258"/>
      <c r="O22" s="267"/>
      <c r="P22" s="267"/>
      <c r="Q22" s="267"/>
      <c r="R22" s="267"/>
      <c r="S22" s="267"/>
      <c r="T22" s="258"/>
      <c r="U22" s="258"/>
      <c r="V22" s="258"/>
      <c r="W22" s="267"/>
      <c r="X22" s="255"/>
      <c r="Y22" s="267"/>
      <c r="Z22" s="267"/>
      <c r="AA22" s="267"/>
      <c r="AB22" s="267"/>
      <c r="AC22" s="267"/>
      <c r="AD22" s="12"/>
      <c r="AE22" s="12"/>
      <c r="AF22" s="12"/>
      <c r="AG22" s="12"/>
    </row>
    <row r="23" spans="1:33">
      <c r="A23" s="258"/>
      <c r="B23" s="12"/>
      <c r="C23" s="257"/>
      <c r="D23" s="258"/>
      <c r="E23" s="258"/>
      <c r="F23" s="250"/>
      <c r="G23" s="256"/>
      <c r="H23" s="256"/>
      <c r="I23" s="12"/>
      <c r="J23" s="258"/>
      <c r="K23" s="267"/>
      <c r="L23" s="267"/>
      <c r="M23" s="267"/>
      <c r="N23" s="258"/>
      <c r="O23" s="267"/>
      <c r="P23" s="267"/>
      <c r="Q23" s="267"/>
      <c r="R23" s="267"/>
      <c r="S23" s="267"/>
      <c r="T23" s="258"/>
      <c r="U23" s="258"/>
      <c r="V23" s="270"/>
      <c r="W23" s="267"/>
      <c r="X23" s="255"/>
      <c r="Y23" s="267"/>
      <c r="Z23" s="267"/>
      <c r="AA23" s="267"/>
      <c r="AB23" s="267"/>
      <c r="AC23" s="267"/>
      <c r="AD23" s="12"/>
      <c r="AE23" s="12"/>
      <c r="AF23" s="12"/>
      <c r="AG23" s="12"/>
    </row>
    <row r="24" spans="1:33">
      <c r="A24" s="258"/>
      <c r="B24" s="12"/>
      <c r="C24" s="257"/>
      <c r="D24" s="258"/>
      <c r="E24" s="258"/>
      <c r="F24" s="250"/>
      <c r="G24" s="256"/>
      <c r="H24" s="256"/>
      <c r="I24" s="12"/>
      <c r="J24" s="258"/>
      <c r="K24" s="267"/>
      <c r="L24" s="267"/>
      <c r="M24" s="267"/>
      <c r="N24" s="258"/>
      <c r="O24" s="267"/>
      <c r="P24" s="267"/>
      <c r="Q24" s="267"/>
      <c r="R24" s="267"/>
      <c r="S24" s="267"/>
      <c r="T24" s="258"/>
      <c r="U24" s="258"/>
      <c r="V24" s="270"/>
      <c r="W24" s="267"/>
      <c r="X24" s="255"/>
      <c r="Y24" s="267"/>
      <c r="Z24" s="267"/>
      <c r="AA24" s="267"/>
      <c r="AB24" s="267"/>
      <c r="AC24" s="267"/>
      <c r="AD24" s="12"/>
      <c r="AE24" s="12"/>
      <c r="AF24" s="12"/>
      <c r="AG24" s="12"/>
    </row>
    <row r="25" spans="1:33">
      <c r="A25" s="258"/>
      <c r="B25" s="12"/>
      <c r="C25" s="257"/>
      <c r="D25" s="258"/>
      <c r="E25" s="258"/>
      <c r="F25" s="250"/>
      <c r="G25" s="256"/>
      <c r="H25" s="256"/>
      <c r="I25" s="12"/>
      <c r="J25" s="258"/>
      <c r="K25" s="267"/>
      <c r="L25" s="267"/>
      <c r="M25" s="267"/>
      <c r="N25" s="258"/>
      <c r="O25" s="267"/>
      <c r="P25" s="267"/>
      <c r="Q25" s="267"/>
      <c r="R25" s="267"/>
      <c r="S25" s="267"/>
      <c r="T25" s="258"/>
      <c r="U25" s="258"/>
      <c r="V25" s="270"/>
      <c r="W25" s="267"/>
      <c r="X25" s="255"/>
      <c r="Y25" s="267"/>
      <c r="Z25" s="267"/>
      <c r="AA25" s="267"/>
      <c r="AB25" s="267"/>
      <c r="AC25" s="267"/>
      <c r="AD25" s="12"/>
      <c r="AE25" s="12"/>
      <c r="AF25" s="12"/>
      <c r="AG25" s="12"/>
    </row>
    <row r="26" spans="1:33">
      <c r="A26" s="258"/>
      <c r="B26" s="12"/>
      <c r="C26" s="257"/>
      <c r="D26" s="258"/>
      <c r="E26" s="258"/>
      <c r="F26" s="250"/>
      <c r="G26" s="256"/>
      <c r="H26" s="256"/>
      <c r="I26" s="12"/>
      <c r="J26" s="258"/>
      <c r="K26" s="267"/>
      <c r="L26" s="267"/>
      <c r="M26" s="267"/>
      <c r="N26" s="258"/>
      <c r="O26" s="267"/>
      <c r="P26" s="267"/>
      <c r="Q26" s="267"/>
      <c r="R26" s="267"/>
      <c r="S26" s="267"/>
      <c r="T26" s="258"/>
      <c r="U26" s="258"/>
      <c r="V26" s="270"/>
      <c r="W26" s="267"/>
      <c r="X26" s="255"/>
      <c r="Y26" s="267"/>
      <c r="Z26" s="267"/>
      <c r="AA26" s="267"/>
      <c r="AB26" s="267"/>
      <c r="AC26" s="267"/>
      <c r="AD26" s="12"/>
      <c r="AE26" s="12"/>
      <c r="AF26" s="12"/>
      <c r="AG26" s="12"/>
    </row>
    <row r="27" spans="1:33">
      <c r="A27" s="258"/>
      <c r="B27" s="12"/>
      <c r="C27" s="257"/>
      <c r="D27" s="258"/>
      <c r="E27" s="258"/>
      <c r="F27" s="250"/>
      <c r="G27" s="256"/>
      <c r="H27" s="256"/>
      <c r="I27" s="12"/>
      <c r="J27" s="258"/>
      <c r="K27" s="267"/>
      <c r="L27" s="267"/>
      <c r="M27" s="267"/>
      <c r="N27" s="258"/>
      <c r="O27" s="267"/>
      <c r="P27" s="267"/>
      <c r="Q27" s="267"/>
      <c r="R27" s="267"/>
      <c r="S27" s="267"/>
      <c r="T27" s="258"/>
      <c r="U27" s="258"/>
      <c r="V27" s="270"/>
      <c r="W27" s="267"/>
      <c r="X27" s="255"/>
      <c r="Y27" s="267"/>
      <c r="Z27" s="267"/>
      <c r="AA27" s="267"/>
      <c r="AB27" s="267"/>
      <c r="AC27" s="267"/>
      <c r="AD27" s="12"/>
      <c r="AE27" s="12"/>
      <c r="AF27" s="12"/>
      <c r="AG27" s="12"/>
    </row>
    <row r="28" spans="1:33">
      <c r="A28" s="258"/>
      <c r="B28" s="12"/>
      <c r="C28" s="257"/>
      <c r="D28" s="258"/>
      <c r="E28" s="258"/>
      <c r="F28" s="250"/>
      <c r="G28" s="256"/>
      <c r="H28" s="256"/>
      <c r="I28" s="12"/>
      <c r="J28" s="258"/>
      <c r="K28" s="267"/>
      <c r="L28" s="267"/>
      <c r="M28" s="267"/>
      <c r="N28" s="258"/>
      <c r="O28" s="267"/>
      <c r="P28" s="267"/>
      <c r="Q28" s="267"/>
      <c r="R28" s="267"/>
      <c r="S28" s="267"/>
      <c r="T28" s="258"/>
      <c r="U28" s="258"/>
      <c r="V28" s="270"/>
      <c r="W28" s="267"/>
      <c r="X28" s="255"/>
      <c r="Y28" s="267"/>
      <c r="Z28" s="267"/>
      <c r="AA28" s="267"/>
      <c r="AB28" s="267"/>
      <c r="AC28" s="267"/>
      <c r="AD28" s="12"/>
      <c r="AE28" s="12"/>
      <c r="AF28" s="12"/>
      <c r="AG28" s="12"/>
    </row>
    <row r="29" spans="1:33">
      <c r="A29" s="258"/>
      <c r="B29" s="12"/>
      <c r="C29" s="257"/>
      <c r="D29" s="258"/>
      <c r="E29" s="258"/>
      <c r="F29" s="250"/>
      <c r="G29" s="256"/>
      <c r="H29" s="256"/>
      <c r="I29" s="12"/>
      <c r="J29" s="258"/>
      <c r="K29" s="267"/>
      <c r="L29" s="267"/>
      <c r="M29" s="267"/>
      <c r="N29" s="258"/>
      <c r="O29" s="267"/>
      <c r="P29" s="267"/>
      <c r="Q29" s="267"/>
      <c r="R29" s="267"/>
      <c r="S29" s="267"/>
      <c r="T29" s="258"/>
      <c r="U29" s="258"/>
      <c r="V29" s="270"/>
      <c r="W29" s="267"/>
      <c r="X29" s="255"/>
      <c r="Y29" s="267"/>
      <c r="Z29" s="267"/>
      <c r="AA29" s="267"/>
      <c r="AB29" s="267"/>
      <c r="AC29" s="267"/>
      <c r="AD29" s="12"/>
      <c r="AE29" s="12"/>
      <c r="AF29" s="12"/>
      <c r="AG29" s="12"/>
    </row>
    <row r="30" spans="1:33">
      <c r="A30" s="258"/>
      <c r="B30" s="12"/>
      <c r="C30" s="257"/>
      <c r="D30" s="258"/>
      <c r="E30" s="258"/>
      <c r="F30" s="250"/>
      <c r="G30" s="256"/>
      <c r="H30" s="256"/>
      <c r="I30" s="12"/>
      <c r="J30" s="258"/>
      <c r="K30" s="267"/>
      <c r="L30" s="267"/>
      <c r="M30" s="267"/>
      <c r="N30" s="258"/>
      <c r="O30" s="267"/>
      <c r="P30" s="267"/>
      <c r="Q30" s="267"/>
      <c r="R30" s="267"/>
      <c r="S30" s="267"/>
      <c r="T30" s="258"/>
      <c r="U30" s="258"/>
      <c r="V30" s="270"/>
      <c r="W30" s="267"/>
      <c r="X30" s="255"/>
      <c r="Y30" s="267"/>
      <c r="Z30" s="267"/>
      <c r="AA30" s="267"/>
      <c r="AB30" s="267"/>
      <c r="AC30" s="267"/>
      <c r="AD30" s="12"/>
      <c r="AE30" s="12"/>
      <c r="AF30" s="12"/>
      <c r="AG30" s="12"/>
    </row>
    <row r="31" spans="1:33">
      <c r="A31" s="258"/>
      <c r="B31" s="12"/>
      <c r="C31" s="257"/>
      <c r="D31" s="258"/>
      <c r="E31" s="258"/>
      <c r="F31" s="250"/>
      <c r="G31" s="256"/>
      <c r="H31" s="256"/>
      <c r="I31" s="12"/>
      <c r="J31" s="258"/>
      <c r="K31" s="267"/>
      <c r="L31" s="267"/>
      <c r="M31" s="267"/>
      <c r="N31" s="258"/>
      <c r="O31" s="267"/>
      <c r="P31" s="267"/>
      <c r="Q31" s="267"/>
      <c r="R31" s="267"/>
      <c r="S31" s="267"/>
      <c r="T31" s="258"/>
      <c r="U31" s="258"/>
      <c r="V31" s="270"/>
      <c r="W31" s="267"/>
      <c r="X31" s="255"/>
      <c r="Y31" s="267"/>
      <c r="Z31" s="267"/>
      <c r="AA31" s="267"/>
      <c r="AB31" s="267"/>
      <c r="AC31" s="267"/>
      <c r="AD31" s="12"/>
      <c r="AE31" s="12"/>
      <c r="AF31" s="12"/>
      <c r="AG31" s="12"/>
    </row>
    <row r="32" spans="1:33">
      <c r="A32" s="258"/>
      <c r="B32" s="12"/>
      <c r="C32" s="257"/>
      <c r="D32" s="258"/>
      <c r="E32" s="258"/>
      <c r="F32" s="250"/>
      <c r="G32" s="256"/>
      <c r="H32" s="256"/>
      <c r="I32" s="12"/>
      <c r="J32" s="258"/>
      <c r="K32" s="267"/>
      <c r="L32" s="267"/>
      <c r="M32" s="267"/>
      <c r="N32" s="258"/>
      <c r="O32" s="267"/>
      <c r="P32" s="267"/>
      <c r="Q32" s="267"/>
      <c r="R32" s="267"/>
      <c r="S32" s="267"/>
      <c r="T32" s="258"/>
      <c r="U32" s="258"/>
      <c r="V32" s="270"/>
      <c r="W32" s="267"/>
      <c r="X32" s="255"/>
      <c r="Y32" s="267"/>
      <c r="Z32" s="267"/>
      <c r="AA32" s="267"/>
      <c r="AB32" s="267"/>
      <c r="AC32" s="267"/>
      <c r="AD32" s="12"/>
      <c r="AE32" s="12"/>
      <c r="AF32" s="12"/>
      <c r="AG32" s="12"/>
    </row>
    <row r="33" spans="1:33">
      <c r="A33" s="258"/>
      <c r="B33" s="12"/>
      <c r="C33" s="257"/>
      <c r="D33" s="258"/>
      <c r="E33" s="258"/>
      <c r="F33" s="250"/>
      <c r="G33" s="256"/>
      <c r="H33" s="256"/>
      <c r="I33" s="12"/>
      <c r="J33" s="258"/>
      <c r="K33" s="267"/>
      <c r="L33" s="267"/>
      <c r="M33" s="267"/>
      <c r="N33" s="258"/>
      <c r="O33" s="267"/>
      <c r="P33" s="267"/>
      <c r="Q33" s="267"/>
      <c r="R33" s="267"/>
      <c r="S33" s="267"/>
      <c r="T33" s="258"/>
      <c r="U33" s="258"/>
      <c r="V33" s="270"/>
      <c r="W33" s="267"/>
      <c r="X33" s="255"/>
      <c r="Y33" s="267"/>
      <c r="Z33" s="267"/>
      <c r="AA33" s="267"/>
      <c r="AB33" s="267"/>
      <c r="AC33" s="267"/>
      <c r="AD33" s="12"/>
      <c r="AE33" s="12"/>
      <c r="AF33" s="12"/>
      <c r="AG33" s="12"/>
    </row>
    <row r="34" spans="1:33">
      <c r="A34" s="258"/>
      <c r="B34" s="12"/>
      <c r="C34" s="257"/>
      <c r="D34" s="258"/>
      <c r="E34" s="258"/>
      <c r="F34" s="250"/>
      <c r="G34" s="256"/>
      <c r="H34" s="256"/>
      <c r="I34" s="12"/>
      <c r="J34" s="258"/>
      <c r="K34" s="267"/>
      <c r="L34" s="267"/>
      <c r="M34" s="267"/>
      <c r="N34" s="258"/>
      <c r="O34" s="267"/>
      <c r="P34" s="267"/>
      <c r="Q34" s="267"/>
      <c r="R34" s="267"/>
      <c r="S34" s="267"/>
      <c r="T34" s="258"/>
      <c r="U34" s="258"/>
      <c r="V34" s="270"/>
      <c r="W34" s="267"/>
      <c r="X34" s="255"/>
      <c r="Y34" s="267"/>
      <c r="Z34" s="267"/>
      <c r="AA34" s="267"/>
      <c r="AB34" s="267"/>
      <c r="AC34" s="267"/>
      <c r="AD34" s="12"/>
      <c r="AE34" s="12"/>
      <c r="AF34" s="12"/>
      <c r="AG34" s="12"/>
    </row>
    <row r="35" spans="1:33">
      <c r="A35" s="258"/>
      <c r="B35" s="12"/>
      <c r="C35" s="257"/>
      <c r="D35" s="258"/>
      <c r="E35" s="258"/>
      <c r="F35" s="250"/>
      <c r="G35" s="256"/>
      <c r="H35" s="256"/>
      <c r="I35" s="12"/>
      <c r="J35" s="258"/>
      <c r="K35" s="267"/>
      <c r="L35" s="267"/>
      <c r="M35" s="267"/>
      <c r="N35" s="258"/>
      <c r="O35" s="267"/>
      <c r="P35" s="267"/>
      <c r="Q35" s="267"/>
      <c r="R35" s="267"/>
      <c r="S35" s="267"/>
      <c r="T35" s="258"/>
      <c r="U35" s="258"/>
      <c r="V35" s="270"/>
      <c r="W35" s="267"/>
      <c r="X35" s="255"/>
      <c r="Y35" s="267"/>
      <c r="Z35" s="267"/>
      <c r="AA35" s="267"/>
      <c r="AB35" s="267"/>
      <c r="AC35" s="267"/>
      <c r="AD35" s="12"/>
      <c r="AE35" s="12"/>
      <c r="AF35" s="12"/>
      <c r="AG35" s="12"/>
    </row>
    <row r="36" spans="1:33">
      <c r="A36" s="258"/>
      <c r="B36" s="12"/>
      <c r="C36" s="257"/>
      <c r="D36" s="258"/>
      <c r="E36" s="258"/>
      <c r="F36" s="250"/>
      <c r="G36" s="256"/>
      <c r="H36" s="256"/>
      <c r="I36" s="12"/>
      <c r="J36" s="258"/>
      <c r="K36" s="267"/>
      <c r="L36" s="267"/>
      <c r="M36" s="267"/>
      <c r="N36" s="258"/>
      <c r="O36" s="267"/>
      <c r="P36" s="267"/>
      <c r="Q36" s="267"/>
      <c r="R36" s="267"/>
      <c r="S36" s="267"/>
      <c r="T36" s="258"/>
      <c r="U36" s="258"/>
      <c r="V36" s="270"/>
      <c r="W36" s="267"/>
      <c r="X36" s="255"/>
      <c r="Y36" s="267"/>
      <c r="Z36" s="267"/>
      <c r="AA36" s="267"/>
      <c r="AB36" s="267"/>
      <c r="AC36" s="267"/>
      <c r="AD36" s="12"/>
      <c r="AE36" s="12"/>
      <c r="AF36" s="12"/>
      <c r="AG36" s="12"/>
    </row>
    <row r="37" spans="1:33">
      <c r="A37" s="258"/>
      <c r="B37" s="12"/>
      <c r="C37" s="257"/>
      <c r="D37" s="258"/>
      <c r="E37" s="258"/>
      <c r="F37" s="250"/>
      <c r="G37" s="256"/>
      <c r="H37" s="256"/>
      <c r="I37" s="12"/>
      <c r="J37" s="258"/>
      <c r="K37" s="267"/>
      <c r="L37" s="267"/>
      <c r="M37" s="267"/>
      <c r="N37" s="258"/>
      <c r="O37" s="267"/>
      <c r="P37" s="267"/>
      <c r="Q37" s="267"/>
      <c r="R37" s="267"/>
      <c r="S37" s="267"/>
      <c r="T37" s="258"/>
      <c r="U37" s="258"/>
      <c r="V37" s="270"/>
      <c r="W37" s="267"/>
      <c r="X37" s="255"/>
      <c r="Y37" s="267"/>
      <c r="Z37" s="267"/>
      <c r="AA37" s="267"/>
      <c r="AB37" s="267"/>
      <c r="AC37" s="267"/>
      <c r="AD37" s="12"/>
      <c r="AE37" s="12"/>
      <c r="AF37" s="12"/>
      <c r="AG37" s="12"/>
    </row>
    <row r="38" spans="1:33">
      <c r="A38" s="258"/>
      <c r="B38" s="12"/>
      <c r="C38" s="257"/>
      <c r="D38" s="258"/>
      <c r="E38" s="258"/>
      <c r="F38" s="250"/>
      <c r="G38" s="256"/>
      <c r="H38" s="256"/>
      <c r="I38" s="12"/>
      <c r="J38" s="258"/>
      <c r="K38" s="267"/>
      <c r="L38" s="267"/>
      <c r="M38" s="267"/>
      <c r="N38" s="258"/>
      <c r="O38" s="267"/>
      <c r="P38" s="267"/>
      <c r="Q38" s="267"/>
      <c r="R38" s="267"/>
      <c r="S38" s="267"/>
      <c r="T38" s="258"/>
      <c r="U38" s="258"/>
      <c r="V38" s="270"/>
      <c r="W38" s="267"/>
      <c r="X38" s="255"/>
      <c r="Y38" s="267"/>
      <c r="Z38" s="267"/>
      <c r="AA38" s="267"/>
      <c r="AB38" s="267"/>
      <c r="AC38" s="267"/>
      <c r="AD38" s="12"/>
      <c r="AE38" s="12"/>
      <c r="AF38" s="12"/>
      <c r="AG38" s="12"/>
    </row>
    <row r="39" spans="1:33">
      <c r="A39" s="258"/>
      <c r="B39" s="12"/>
      <c r="C39" s="257"/>
      <c r="D39" s="258"/>
      <c r="E39" s="258"/>
      <c r="F39" s="250"/>
      <c r="G39" s="256"/>
      <c r="H39" s="256"/>
      <c r="I39" s="12"/>
      <c r="J39" s="258"/>
      <c r="K39" s="267"/>
      <c r="L39" s="267"/>
      <c r="M39" s="267"/>
      <c r="N39" s="258"/>
      <c r="O39" s="267"/>
      <c r="P39" s="267"/>
      <c r="Q39" s="267"/>
      <c r="R39" s="267"/>
      <c r="S39" s="267"/>
      <c r="T39" s="258"/>
      <c r="U39" s="258"/>
      <c r="V39" s="270"/>
      <c r="W39" s="267"/>
      <c r="X39" s="255"/>
      <c r="Y39" s="267"/>
      <c r="Z39" s="267"/>
      <c r="AA39" s="267"/>
      <c r="AB39" s="267"/>
      <c r="AC39" s="267"/>
      <c r="AD39" s="253"/>
      <c r="AE39" s="253"/>
      <c r="AF39" s="253"/>
      <c r="AG39" s="253"/>
    </row>
    <row r="40" spans="1:33">
      <c r="A40" s="258"/>
      <c r="B40" s="12"/>
      <c r="C40" s="257"/>
      <c r="D40" s="258"/>
      <c r="E40" s="258"/>
      <c r="F40" s="250"/>
      <c r="G40" s="256"/>
      <c r="H40" s="256"/>
      <c r="I40" s="12"/>
      <c r="J40" s="258"/>
      <c r="K40" s="267"/>
      <c r="L40" s="267"/>
      <c r="M40" s="267"/>
      <c r="N40" s="258"/>
      <c r="O40" s="267"/>
      <c r="P40" s="267"/>
      <c r="Q40" s="267"/>
      <c r="R40" s="267"/>
      <c r="S40" s="267"/>
      <c r="T40" s="258"/>
      <c r="U40" s="258"/>
      <c r="V40" s="270"/>
      <c r="W40" s="267"/>
      <c r="X40" s="255"/>
      <c r="Y40" s="267"/>
      <c r="Z40" s="267"/>
      <c r="AA40" s="267"/>
      <c r="AB40" s="267"/>
      <c r="AC40" s="267"/>
      <c r="AD40" s="12"/>
      <c r="AE40" s="12"/>
      <c r="AF40" s="12"/>
      <c r="AG40" s="12"/>
    </row>
    <row r="41" spans="1:33">
      <c r="A41" s="258"/>
      <c r="B41" s="12"/>
      <c r="C41" s="257"/>
      <c r="D41" s="258"/>
      <c r="E41" s="258"/>
      <c r="F41" s="250"/>
      <c r="G41" s="256"/>
      <c r="H41" s="256"/>
      <c r="I41" s="12"/>
      <c r="J41" s="258"/>
      <c r="K41" s="267"/>
      <c r="L41" s="267"/>
      <c r="M41" s="267"/>
      <c r="N41" s="258"/>
      <c r="O41" s="267"/>
      <c r="P41" s="267"/>
      <c r="Q41" s="267"/>
      <c r="R41" s="267"/>
      <c r="S41" s="267"/>
      <c r="T41" s="258"/>
      <c r="U41" s="258"/>
      <c r="V41" s="270"/>
      <c r="W41" s="267"/>
      <c r="X41" s="255"/>
      <c r="Y41" s="267"/>
      <c r="Z41" s="267"/>
      <c r="AA41" s="267"/>
      <c r="AB41" s="267"/>
      <c r="AC41" s="267"/>
      <c r="AD41" s="254"/>
      <c r="AE41" s="254"/>
      <c r="AF41" s="254"/>
      <c r="AG41" s="254"/>
    </row>
    <row r="42" spans="1:33">
      <c r="A42" s="258"/>
      <c r="B42" s="12"/>
      <c r="C42" s="257"/>
      <c r="D42" s="258"/>
      <c r="E42" s="258"/>
      <c r="F42" s="250"/>
      <c r="G42" s="256"/>
      <c r="H42" s="256"/>
      <c r="I42" s="12"/>
      <c r="J42" s="258"/>
      <c r="K42" s="267"/>
      <c r="L42" s="267"/>
      <c r="M42" s="267"/>
      <c r="N42" s="258"/>
      <c r="O42" s="267"/>
      <c r="P42" s="267"/>
      <c r="Q42" s="267"/>
      <c r="R42" s="267"/>
      <c r="S42" s="267"/>
      <c r="T42" s="258"/>
      <c r="U42" s="258"/>
      <c r="V42" s="270"/>
      <c r="W42" s="267"/>
      <c r="X42" s="255"/>
      <c r="Y42" s="267"/>
      <c r="Z42" s="267"/>
      <c r="AA42" s="267"/>
      <c r="AB42" s="267"/>
      <c r="AC42" s="267"/>
      <c r="AD42" s="12"/>
      <c r="AE42" s="12"/>
      <c r="AF42" s="12"/>
      <c r="AG42" s="12"/>
    </row>
    <row r="43" spans="1:33">
      <c r="A43" s="258"/>
      <c r="B43" s="12"/>
      <c r="C43" s="257"/>
      <c r="D43" s="258"/>
      <c r="E43" s="258"/>
      <c r="F43" s="250"/>
      <c r="G43" s="256"/>
      <c r="H43" s="256"/>
      <c r="I43" s="12"/>
      <c r="J43" s="258"/>
      <c r="K43" s="267"/>
      <c r="L43" s="267"/>
      <c r="M43" s="267"/>
      <c r="N43" s="258"/>
      <c r="O43" s="267"/>
      <c r="P43" s="267"/>
      <c r="Q43" s="267"/>
      <c r="R43" s="267"/>
      <c r="S43" s="267"/>
      <c r="T43" s="258"/>
      <c r="U43" s="258"/>
      <c r="V43" s="270"/>
      <c r="W43" s="267"/>
      <c r="X43" s="255"/>
      <c r="Y43" s="267"/>
      <c r="Z43" s="267"/>
      <c r="AA43" s="267"/>
      <c r="AB43" s="267"/>
      <c r="AC43" s="267"/>
      <c r="AD43" s="12"/>
      <c r="AE43" s="12"/>
      <c r="AF43" s="12"/>
      <c r="AG43" s="12"/>
    </row>
    <row r="44" spans="1:33">
      <c r="A44" s="12"/>
      <c r="B44" s="12"/>
      <c r="C44" s="257"/>
      <c r="D44" s="258" t="s">
        <v>377</v>
      </c>
      <c r="E44" s="258" t="s">
        <v>378</v>
      </c>
      <c r="F44" s="250" t="s">
        <v>379</v>
      </c>
      <c r="G44" s="256" t="s">
        <v>380</v>
      </c>
      <c r="H44" s="256" t="s">
        <v>381</v>
      </c>
      <c r="I44" s="12" t="s">
        <v>382</v>
      </c>
      <c r="J44" s="258" t="s">
        <v>383</v>
      </c>
      <c r="K44" s="267" t="s">
        <v>232</v>
      </c>
      <c r="L44" s="267" t="s">
        <v>382</v>
      </c>
      <c r="M44" s="267" t="s">
        <v>232</v>
      </c>
      <c r="N44" s="258" t="s">
        <v>384</v>
      </c>
      <c r="O44" s="267" t="s">
        <v>232</v>
      </c>
      <c r="P44" s="267" t="s">
        <v>385</v>
      </c>
      <c r="Q44" s="267" t="s">
        <v>385</v>
      </c>
      <c r="R44" s="267" t="s">
        <v>386</v>
      </c>
      <c r="S44" s="267" t="s">
        <v>387</v>
      </c>
      <c r="T44" s="258" t="s">
        <v>388</v>
      </c>
      <c r="U44" s="258" t="s">
        <v>389</v>
      </c>
      <c r="V44" s="270" t="s">
        <v>390</v>
      </c>
      <c r="W44" s="267" t="s">
        <v>391</v>
      </c>
      <c r="X44" s="255">
        <v>46024</v>
      </c>
      <c r="Y44" s="267" t="s">
        <v>74</v>
      </c>
      <c r="Z44" s="267" t="s">
        <v>232</v>
      </c>
      <c r="AA44" s="267" t="s">
        <v>74</v>
      </c>
      <c r="AB44" s="267" t="s">
        <v>74</v>
      </c>
      <c r="AC44" s="267" t="s">
        <v>74</v>
      </c>
      <c r="AD44" s="12"/>
      <c r="AE44" s="12"/>
      <c r="AF44" s="12"/>
      <c r="AG44" s="12"/>
    </row>
    <row r="45" spans="1:33">
      <c r="A45" s="253"/>
      <c r="B45" s="253"/>
      <c r="C45" s="253"/>
      <c r="D45" s="253"/>
      <c r="E45" s="253"/>
      <c r="F45" s="254"/>
      <c r="G45" s="254"/>
      <c r="H45" s="254"/>
      <c r="I45" s="253"/>
      <c r="J45" s="253"/>
      <c r="K45" s="253"/>
      <c r="L45" s="253"/>
      <c r="M45" s="253"/>
      <c r="N45" s="253"/>
      <c r="O45" s="253"/>
      <c r="P45" s="253"/>
      <c r="Q45" s="253"/>
      <c r="R45" s="12"/>
      <c r="S45" s="253"/>
      <c r="T45" s="253"/>
      <c r="U45" s="253"/>
      <c r="V45" s="253"/>
      <c r="W45" s="253"/>
      <c r="X45" s="253"/>
      <c r="Y45" s="253"/>
      <c r="Z45" s="253"/>
      <c r="AA45" s="253"/>
      <c r="AB45" s="253"/>
      <c r="AC45" s="253"/>
      <c r="AD45" s="253"/>
      <c r="AE45" s="253"/>
      <c r="AF45" s="253"/>
      <c r="AG45" s="253"/>
    </row>
    <row r="46" spans="1:33">
      <c r="A46" s="12"/>
      <c r="B46" s="12"/>
      <c r="C46" s="12"/>
      <c r="D46" s="12"/>
      <c r="E46" s="12"/>
      <c r="F46" s="250"/>
      <c r="G46" s="250"/>
      <c r="H46" s="250"/>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c r="A47" s="12"/>
      <c r="B47" s="12"/>
      <c r="C47" s="12"/>
      <c r="D47" s="12"/>
      <c r="E47" s="12"/>
      <c r="F47" s="250"/>
      <c r="G47" s="250"/>
      <c r="H47" s="250"/>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c r="A48" s="12"/>
      <c r="B48" s="12"/>
      <c r="C48" s="12"/>
      <c r="D48" s="12"/>
      <c r="E48" s="12"/>
      <c r="F48" s="250"/>
      <c r="G48" s="250"/>
      <c r="H48" s="250"/>
      <c r="I48" s="12"/>
      <c r="J48" s="12"/>
      <c r="K48" s="12"/>
      <c r="L48" s="12"/>
      <c r="M48" s="12"/>
      <c r="N48" s="12"/>
      <c r="O48" s="12"/>
      <c r="P48" s="12"/>
      <c r="Q48" s="12"/>
      <c r="R48" s="12"/>
      <c r="S48" s="12"/>
      <c r="T48" s="12"/>
      <c r="U48" s="12"/>
      <c r="V48" s="251"/>
      <c r="W48" s="12"/>
      <c r="X48" s="12"/>
      <c r="Y48" s="12"/>
      <c r="Z48" s="12"/>
      <c r="AA48" s="252"/>
      <c r="AB48" s="12"/>
      <c r="AC48" s="12"/>
      <c r="AD48" s="12"/>
      <c r="AE48" s="12"/>
      <c r="AF48" s="12"/>
      <c r="AG48" s="12"/>
    </row>
    <row r="49" spans="1:33">
      <c r="A49" s="12"/>
      <c r="B49" s="12"/>
      <c r="C49" s="12"/>
      <c r="D49" s="12"/>
      <c r="E49" s="12"/>
      <c r="F49" s="250"/>
      <c r="G49" s="250"/>
      <c r="H49" s="250"/>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c r="A50" s="12"/>
      <c r="B50" s="12"/>
      <c r="C50" s="12"/>
      <c r="D50" s="12"/>
      <c r="E50" s="12"/>
      <c r="F50" s="250"/>
      <c r="G50" s="250"/>
      <c r="H50" s="250"/>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c r="A51" s="12"/>
      <c r="B51" s="12"/>
      <c r="C51" s="12"/>
      <c r="D51" s="12"/>
      <c r="E51" s="12"/>
      <c r="F51" s="250"/>
      <c r="G51" s="250"/>
      <c r="H51" s="250"/>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c r="A52" s="12"/>
      <c r="B52" s="12"/>
      <c r="C52" s="12"/>
      <c r="D52" s="12"/>
      <c r="E52" s="12"/>
      <c r="F52" s="250"/>
      <c r="G52" s="250"/>
      <c r="H52" s="250"/>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c r="A53" s="12"/>
      <c r="B53" s="12"/>
      <c r="C53" s="12"/>
      <c r="D53" s="12"/>
      <c r="E53" s="12"/>
      <c r="F53" s="250"/>
      <c r="G53" s="250"/>
      <c r="H53" s="250"/>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c r="A54" s="253"/>
      <c r="B54" s="253"/>
      <c r="C54" s="253"/>
      <c r="D54" s="253"/>
      <c r="E54" s="253"/>
      <c r="F54" s="254"/>
      <c r="G54" s="254"/>
      <c r="H54" s="254"/>
      <c r="I54" s="253"/>
      <c r="J54" s="253"/>
      <c r="K54" s="253"/>
      <c r="L54" s="254"/>
      <c r="M54" s="254"/>
      <c r="N54" s="253"/>
      <c r="O54" s="253"/>
      <c r="P54" s="253"/>
      <c r="Q54" s="253"/>
      <c r="R54" s="12"/>
      <c r="S54" s="253"/>
      <c r="T54" s="253"/>
      <c r="U54" s="253"/>
      <c r="V54" s="253"/>
      <c r="W54" s="253"/>
      <c r="X54" s="253"/>
      <c r="Y54" s="253"/>
      <c r="Z54" s="253"/>
      <c r="AA54" s="253"/>
      <c r="AB54" s="253"/>
      <c r="AC54" s="253"/>
      <c r="AD54" s="253"/>
      <c r="AE54" s="253"/>
      <c r="AF54" s="253"/>
      <c r="AG54" s="253"/>
    </row>
    <row r="55" spans="1:33">
      <c r="A55" s="12"/>
      <c r="B55" s="12"/>
      <c r="C55" s="12"/>
      <c r="D55" s="12"/>
      <c r="E55" s="12"/>
      <c r="F55" s="250"/>
      <c r="G55" s="250"/>
      <c r="H55" s="250"/>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c r="A56" s="12"/>
      <c r="B56" s="12"/>
      <c r="C56" s="12"/>
      <c r="D56" s="12"/>
      <c r="E56" s="12"/>
      <c r="F56" s="250"/>
      <c r="G56" s="250"/>
      <c r="H56" s="250"/>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c r="A57" s="12"/>
      <c r="B57" s="12"/>
      <c r="C57" s="12"/>
      <c r="D57" s="12"/>
      <c r="E57" s="12"/>
      <c r="F57" s="250"/>
      <c r="G57" s="250"/>
      <c r="H57" s="250"/>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c r="A58" s="12"/>
      <c r="B58" s="12"/>
      <c r="C58" s="12"/>
      <c r="D58" s="12"/>
      <c r="E58" s="12"/>
      <c r="F58" s="250"/>
      <c r="G58" s="250"/>
      <c r="H58" s="250"/>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c r="A59" s="12"/>
      <c r="B59" s="12"/>
      <c r="C59" s="12"/>
      <c r="D59" s="12"/>
      <c r="E59" s="12"/>
      <c r="F59" s="250"/>
      <c r="G59" s="250"/>
      <c r="H59" s="250"/>
      <c r="I59" s="12"/>
      <c r="J59" s="12"/>
      <c r="K59" s="12"/>
      <c r="L59" s="12"/>
      <c r="M59" s="12"/>
      <c r="N59" s="12"/>
      <c r="O59" s="12"/>
      <c r="P59" s="12"/>
      <c r="Q59" s="12"/>
      <c r="R59" s="12"/>
      <c r="S59" s="12"/>
      <c r="T59" s="12"/>
      <c r="U59" s="12"/>
      <c r="V59" s="12"/>
      <c r="W59" s="12"/>
      <c r="X59" s="12"/>
      <c r="Y59" s="12"/>
      <c r="Z59" s="12"/>
      <c r="AA59" s="252"/>
      <c r="AB59" s="12"/>
      <c r="AC59" s="12"/>
      <c r="AD59" s="12"/>
      <c r="AE59" s="12"/>
      <c r="AF59" s="12"/>
      <c r="AG59" s="12"/>
    </row>
    <row r="60" spans="1:33">
      <c r="A60" s="12"/>
      <c r="B60" s="12"/>
      <c r="C60" s="12"/>
      <c r="D60" s="12"/>
      <c r="E60" s="12"/>
      <c r="F60" s="250"/>
      <c r="G60" s="250"/>
      <c r="H60" s="250"/>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c r="A61" s="12"/>
      <c r="B61" s="12"/>
      <c r="C61" s="12"/>
      <c r="D61" s="12"/>
      <c r="E61" s="12"/>
      <c r="F61" s="250"/>
      <c r="G61" s="250"/>
      <c r="H61" s="250"/>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c r="A62" s="12"/>
      <c r="B62" s="12"/>
      <c r="C62" s="12"/>
      <c r="D62" s="12"/>
      <c r="E62" s="12"/>
      <c r="F62" s="250"/>
      <c r="G62" s="250"/>
      <c r="H62" s="250"/>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row>
    <row r="63" spans="1:33">
      <c r="A63" s="12"/>
      <c r="B63" s="12"/>
      <c r="C63" s="12"/>
      <c r="D63" s="12"/>
      <c r="E63" s="12"/>
      <c r="F63" s="250"/>
      <c r="G63" s="250"/>
      <c r="H63" s="250"/>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row>
    <row r="64" spans="1:33">
      <c r="A64" s="12"/>
      <c r="B64" s="12"/>
      <c r="C64" s="12"/>
      <c r="D64" s="12"/>
      <c r="E64" s="12"/>
      <c r="F64" s="250"/>
      <c r="G64" s="250"/>
      <c r="H64" s="250"/>
      <c r="I64" s="12"/>
      <c r="J64" s="12"/>
      <c r="K64" s="12"/>
      <c r="L64" s="12"/>
      <c r="M64" s="12"/>
      <c r="N64" s="12"/>
      <c r="O64" s="12"/>
      <c r="P64" s="12"/>
      <c r="Q64" s="12"/>
      <c r="R64" s="12"/>
      <c r="S64" s="12"/>
      <c r="T64" s="12"/>
      <c r="U64" s="12"/>
      <c r="V64" s="251"/>
      <c r="W64" s="12"/>
      <c r="X64" s="12"/>
      <c r="Y64" s="12"/>
      <c r="Z64" s="12"/>
      <c r="AA64" s="12"/>
      <c r="AB64" s="12"/>
      <c r="AC64" s="12"/>
      <c r="AD64" s="12"/>
      <c r="AE64" s="12"/>
      <c r="AF64" s="12"/>
      <c r="AG64" s="12"/>
    </row>
    <row r="65" spans="1:33">
      <c r="A65" s="12"/>
      <c r="B65" s="12"/>
      <c r="C65" s="12"/>
      <c r="D65" s="12"/>
      <c r="E65" s="12"/>
      <c r="F65" s="250"/>
      <c r="G65" s="250"/>
      <c r="H65" s="250"/>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row>
    <row r="66" spans="1:33">
      <c r="A66" s="12"/>
      <c r="B66" s="12"/>
      <c r="C66" s="12"/>
      <c r="D66" s="12"/>
      <c r="E66" s="12"/>
      <c r="F66" s="250"/>
      <c r="G66" s="250"/>
      <c r="H66" s="250"/>
      <c r="I66" s="12"/>
      <c r="J66" s="12"/>
      <c r="K66" s="12"/>
      <c r="L66" s="12"/>
      <c r="M66" s="12"/>
      <c r="N66" s="12"/>
      <c r="O66" s="12"/>
      <c r="P66" s="12"/>
      <c r="Q66" s="12"/>
      <c r="R66" s="12"/>
      <c r="S66" s="12"/>
      <c r="T66" s="12"/>
      <c r="U66" s="12"/>
      <c r="V66" s="251"/>
      <c r="W66" s="12"/>
      <c r="X66" s="12"/>
      <c r="Y66" s="12"/>
      <c r="Z66" s="12"/>
      <c r="AA66" s="252"/>
      <c r="AB66" s="12"/>
      <c r="AC66" s="12"/>
      <c r="AD66" s="12"/>
      <c r="AE66" s="252"/>
      <c r="AF66" s="252"/>
      <c r="AG66" s="252"/>
    </row>
    <row r="67" spans="1:33">
      <c r="A67" s="12"/>
      <c r="B67" s="12"/>
      <c r="C67" s="12"/>
      <c r="D67" s="12"/>
      <c r="E67" s="12"/>
      <c r="F67" s="250"/>
      <c r="G67" s="250"/>
      <c r="H67" s="250"/>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row>
    <row r="68" spans="1:33">
      <c r="A68" s="12"/>
      <c r="B68" s="12"/>
      <c r="C68" s="12"/>
      <c r="D68" s="12"/>
      <c r="E68" s="12"/>
      <c r="F68" s="250"/>
      <c r="G68" s="250"/>
      <c r="H68" s="250"/>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row>
    <row r="69" spans="1:33">
      <c r="A69" s="12"/>
      <c r="B69" s="12"/>
      <c r="C69" s="12"/>
      <c r="D69" s="12"/>
      <c r="E69" s="12"/>
      <c r="F69" s="250"/>
      <c r="G69" s="250"/>
      <c r="H69" s="250"/>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row>
    <row r="70" spans="1:33">
      <c r="A70" s="253"/>
      <c r="B70" s="253"/>
      <c r="C70" s="253"/>
      <c r="D70" s="253"/>
      <c r="E70" s="253"/>
      <c r="F70" s="254"/>
      <c r="G70" s="254"/>
      <c r="H70" s="254"/>
      <c r="I70" s="253"/>
      <c r="J70" s="253"/>
      <c r="K70" s="253"/>
      <c r="L70" s="253"/>
      <c r="M70" s="253"/>
      <c r="N70" s="253"/>
      <c r="O70" s="253"/>
      <c r="P70" s="253"/>
      <c r="Q70" s="253"/>
      <c r="R70" s="12"/>
      <c r="S70" s="253"/>
      <c r="T70" s="253"/>
      <c r="U70" s="253"/>
      <c r="V70" s="253"/>
      <c r="W70" s="253"/>
      <c r="X70" s="253"/>
      <c r="Y70" s="253"/>
      <c r="Z70" s="253"/>
      <c r="AA70" s="253"/>
      <c r="AB70" s="253"/>
      <c r="AC70" s="253"/>
      <c r="AD70" s="253"/>
      <c r="AE70" s="253"/>
      <c r="AF70" s="253"/>
      <c r="AG70" s="253"/>
    </row>
    <row r="71" spans="1:33">
      <c r="A71" s="253"/>
      <c r="B71" s="253"/>
      <c r="C71" s="253"/>
      <c r="D71" s="253"/>
      <c r="E71" s="253"/>
      <c r="F71" s="254"/>
      <c r="G71" s="254"/>
      <c r="H71" s="254"/>
      <c r="I71" s="253"/>
      <c r="J71" s="253"/>
      <c r="K71" s="253"/>
      <c r="L71" s="253"/>
      <c r="M71" s="253"/>
      <c r="N71" s="253"/>
      <c r="O71" s="253"/>
      <c r="P71" s="253"/>
      <c r="Q71" s="253"/>
      <c r="R71" s="12"/>
      <c r="S71" s="253"/>
      <c r="T71" s="253"/>
      <c r="U71" s="253"/>
      <c r="V71" s="253"/>
      <c r="W71" s="253"/>
      <c r="X71" s="253"/>
      <c r="Y71" s="253"/>
      <c r="Z71" s="253"/>
      <c r="AA71" s="253"/>
      <c r="AB71" s="253"/>
      <c r="AC71" s="253"/>
      <c r="AD71" s="253"/>
      <c r="AE71" s="253"/>
      <c r="AF71" s="253"/>
      <c r="AG71" s="253"/>
    </row>
    <row r="72" spans="1:33">
      <c r="A72" s="253"/>
      <c r="B72" s="253"/>
      <c r="C72" s="253"/>
      <c r="D72" s="253"/>
      <c r="E72" s="253"/>
      <c r="F72" s="254"/>
      <c r="G72" s="254"/>
      <c r="H72" s="254"/>
      <c r="I72" s="253"/>
      <c r="J72" s="253"/>
      <c r="K72" s="253"/>
      <c r="L72" s="253"/>
      <c r="M72" s="253"/>
      <c r="N72" s="253"/>
      <c r="O72" s="253"/>
      <c r="P72" s="253"/>
      <c r="Q72" s="253"/>
      <c r="R72" s="12"/>
      <c r="S72" s="253"/>
      <c r="T72" s="253"/>
      <c r="U72" s="253"/>
      <c r="V72" s="253"/>
      <c r="W72" s="253"/>
      <c r="X72" s="253"/>
      <c r="Y72" s="253"/>
      <c r="Z72" s="253"/>
      <c r="AA72" s="253"/>
      <c r="AB72" s="253"/>
      <c r="AC72" s="253"/>
      <c r="AD72" s="253"/>
      <c r="AE72" s="253"/>
      <c r="AF72" s="253"/>
      <c r="AG72" s="253"/>
    </row>
    <row r="73" spans="1:33">
      <c r="A73" s="12"/>
      <c r="B73" s="12"/>
      <c r="C73" s="12"/>
      <c r="D73" s="12"/>
      <c r="E73" s="12"/>
      <c r="F73" s="250"/>
      <c r="G73" s="250"/>
      <c r="H73" s="250"/>
      <c r="I73" s="12"/>
      <c r="J73" s="12"/>
      <c r="K73" s="12"/>
      <c r="L73" s="12"/>
      <c r="M73" s="12"/>
      <c r="N73" s="12"/>
      <c r="O73" s="12"/>
      <c r="P73" s="12"/>
      <c r="Q73" s="253"/>
      <c r="R73" s="12"/>
      <c r="S73" s="12"/>
      <c r="T73" s="12"/>
      <c r="U73" s="12"/>
      <c r="V73" s="12"/>
      <c r="W73" s="12"/>
      <c r="X73" s="12"/>
      <c r="Y73" s="12"/>
      <c r="Z73" s="12"/>
      <c r="AA73" s="12"/>
      <c r="AB73" s="12"/>
      <c r="AC73" s="12"/>
      <c r="AD73" s="12"/>
      <c r="AE73" s="12"/>
      <c r="AF73" s="12"/>
      <c r="AG73" s="12"/>
    </row>
    <row r="74" spans="1:33">
      <c r="A74" s="253"/>
      <c r="B74" s="253"/>
      <c r="C74" s="253"/>
      <c r="D74" s="253"/>
      <c r="E74" s="253"/>
      <c r="F74" s="254"/>
      <c r="G74" s="254"/>
      <c r="H74" s="254"/>
      <c r="I74" s="253"/>
      <c r="J74" s="253"/>
      <c r="K74" s="253"/>
      <c r="L74" s="253"/>
      <c r="M74" s="253"/>
      <c r="N74" s="253"/>
      <c r="O74" s="253"/>
      <c r="P74" s="253"/>
      <c r="Q74" s="253"/>
      <c r="R74" s="12"/>
      <c r="S74" s="253"/>
      <c r="T74" s="253"/>
      <c r="U74" s="253"/>
      <c r="V74" s="253"/>
      <c r="W74" s="253"/>
      <c r="X74" s="253"/>
      <c r="Y74" s="253"/>
      <c r="Z74" s="253"/>
      <c r="AA74" s="253"/>
      <c r="AB74" s="253"/>
      <c r="AC74" s="253"/>
      <c r="AD74" s="253"/>
      <c r="AE74" s="253"/>
      <c r="AF74" s="253"/>
      <c r="AG74" s="253"/>
    </row>
  </sheetData>
  <conditionalFormatting sqref="B2:B74">
    <cfRule type="duplicateValues" dxfId="1" priority="223"/>
  </conditionalFormatting>
  <conditionalFormatting sqref="K45">
    <cfRule type="duplicateValues" dxfId="0" priority="2"/>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C600-AEE0-4170-A9FB-99E0627602A5}">
  <dimension ref="A1:H45"/>
  <sheetViews>
    <sheetView zoomScale="85" zoomScaleNormal="85" workbookViewId="0">
      <selection activeCell="G3" sqref="G3"/>
    </sheetView>
  </sheetViews>
  <sheetFormatPr defaultColWidth="21.5703125" defaultRowHeight="14.45"/>
  <cols>
    <col min="1" max="1" width="20.42578125" customWidth="1"/>
    <col min="2" max="2" width="17.28515625" style="5" customWidth="1"/>
    <col min="3" max="3" width="9.7109375" bestFit="1" customWidth="1"/>
    <col min="4" max="4" width="17" customWidth="1"/>
    <col min="5" max="5" width="17.28515625" customWidth="1"/>
    <col min="6" max="6" width="17" customWidth="1"/>
    <col min="7" max="7" width="48.42578125" customWidth="1"/>
    <col min="8" max="8" width="41.42578125" bestFit="1" customWidth="1"/>
    <col min="9" max="9" width="46.42578125" customWidth="1"/>
  </cols>
  <sheetData>
    <row r="1" spans="1:8">
      <c r="A1" s="134" t="s">
        <v>392</v>
      </c>
      <c r="B1" s="135" t="s">
        <v>393</v>
      </c>
      <c r="C1" s="135" t="s">
        <v>394</v>
      </c>
      <c r="D1" s="388" t="s">
        <v>395</v>
      </c>
      <c r="E1" s="389" t="s">
        <v>396</v>
      </c>
      <c r="F1" s="135" t="s">
        <v>397</v>
      </c>
      <c r="G1" s="390" t="s">
        <v>398</v>
      </c>
      <c r="H1" s="389" t="s">
        <v>399</v>
      </c>
    </row>
    <row r="2" spans="1:8" ht="24">
      <c r="A2" s="134" t="s">
        <v>400</v>
      </c>
      <c r="B2" s="135" t="s">
        <v>401</v>
      </c>
      <c r="C2" s="135" t="s">
        <v>402</v>
      </c>
      <c r="D2" s="388"/>
      <c r="E2" s="389"/>
      <c r="F2" s="135" t="s">
        <v>403</v>
      </c>
      <c r="G2" s="390"/>
      <c r="H2" s="389"/>
    </row>
    <row r="3" spans="1:8">
      <c r="A3" s="256"/>
      <c r="B3" s="256"/>
      <c r="C3" s="239"/>
      <c r="D3" s="238"/>
      <c r="E3" s="237"/>
      <c r="F3" s="240"/>
      <c r="G3" s="12"/>
      <c r="H3" s="258"/>
    </row>
    <row r="4" spans="1:8">
      <c r="A4" s="256"/>
      <c r="B4" s="256"/>
      <c r="C4" s="239"/>
      <c r="D4" s="238"/>
      <c r="E4" s="237"/>
      <c r="F4" s="240"/>
      <c r="G4" s="12"/>
      <c r="H4" s="258"/>
    </row>
    <row r="5" spans="1:8">
      <c r="A5" s="256"/>
      <c r="B5" s="256"/>
      <c r="C5" s="239"/>
      <c r="D5" s="238"/>
      <c r="E5" s="237"/>
      <c r="F5" s="240"/>
      <c r="G5" s="12"/>
      <c r="H5" s="258"/>
    </row>
    <row r="6" spans="1:8">
      <c r="A6" s="256"/>
      <c r="B6" s="256"/>
      <c r="C6" s="239"/>
      <c r="D6" s="238"/>
      <c r="E6" s="237"/>
      <c r="F6" s="240"/>
      <c r="G6" s="12"/>
      <c r="H6" s="258"/>
    </row>
    <row r="7" spans="1:8">
      <c r="A7" s="256"/>
      <c r="B7" s="256"/>
      <c r="C7" s="239"/>
      <c r="D7" s="238"/>
      <c r="E7" s="237"/>
      <c r="F7" s="240"/>
      <c r="G7" s="12"/>
      <c r="H7" s="258"/>
    </row>
    <row r="8" spans="1:8">
      <c r="A8" s="256"/>
      <c r="B8" s="256"/>
      <c r="C8" s="239"/>
      <c r="D8" s="238"/>
      <c r="E8" s="237"/>
      <c r="F8" s="240"/>
      <c r="G8" s="12"/>
      <c r="H8" s="258"/>
    </row>
    <row r="9" spans="1:8">
      <c r="A9" s="256"/>
      <c r="B9" s="256"/>
      <c r="C9" s="239"/>
      <c r="D9" s="238"/>
      <c r="E9" s="237"/>
      <c r="F9" s="240"/>
      <c r="G9" s="12"/>
      <c r="H9" s="258"/>
    </row>
    <row r="10" spans="1:8">
      <c r="A10" s="256"/>
      <c r="B10" s="256"/>
      <c r="C10" s="239"/>
      <c r="D10" s="238"/>
      <c r="E10" s="237"/>
      <c r="F10" s="240"/>
      <c r="G10" s="12"/>
      <c r="H10" s="258"/>
    </row>
    <row r="11" spans="1:8">
      <c r="A11" s="256"/>
      <c r="B11" s="256"/>
      <c r="C11" s="239"/>
      <c r="D11" s="238"/>
      <c r="E11" s="237"/>
      <c r="F11" s="240"/>
      <c r="G11" s="12"/>
      <c r="H11" s="256"/>
    </row>
    <row r="12" spans="1:8">
      <c r="A12" s="256"/>
      <c r="B12" s="256"/>
      <c r="C12" s="239"/>
      <c r="D12" s="238"/>
      <c r="E12" s="237"/>
      <c r="F12" s="240"/>
      <c r="G12" s="12"/>
      <c r="H12" s="256"/>
    </row>
    <row r="13" spans="1:8">
      <c r="A13" s="256"/>
      <c r="B13" s="256"/>
      <c r="C13" s="239"/>
      <c r="D13" s="238"/>
      <c r="E13" s="237"/>
      <c r="F13" s="240"/>
      <c r="G13" s="12"/>
      <c r="H13" s="256"/>
    </row>
    <row r="14" spans="1:8">
      <c r="A14" s="256"/>
      <c r="B14" s="256"/>
      <c r="C14" s="239"/>
      <c r="D14" s="238"/>
      <c r="E14" s="237"/>
      <c r="F14" s="240"/>
      <c r="G14" s="12"/>
      <c r="H14" s="256"/>
    </row>
    <row r="15" spans="1:8">
      <c r="A15" s="256"/>
      <c r="B15" s="256"/>
      <c r="C15" s="239"/>
      <c r="D15" s="238"/>
      <c r="E15" s="237"/>
      <c r="F15" s="240"/>
      <c r="G15" s="12"/>
      <c r="H15" s="256"/>
    </row>
    <row r="16" spans="1:8">
      <c r="A16" s="256"/>
      <c r="B16" s="256"/>
      <c r="C16" s="239"/>
      <c r="D16" s="238"/>
      <c r="E16" s="237"/>
      <c r="F16" s="240"/>
      <c r="G16" s="12"/>
      <c r="H16" s="256"/>
    </row>
    <row r="17" spans="1:8">
      <c r="A17" s="256"/>
      <c r="B17" s="256"/>
      <c r="C17" s="239"/>
      <c r="D17" s="238"/>
      <c r="E17" s="237"/>
      <c r="F17" s="240"/>
      <c r="G17" s="12"/>
      <c r="H17" s="256"/>
    </row>
    <row r="18" spans="1:8">
      <c r="A18" s="256"/>
      <c r="B18" s="256"/>
      <c r="C18" s="239"/>
      <c r="D18" s="238"/>
      <c r="E18" s="237"/>
      <c r="F18" s="240"/>
      <c r="G18" s="12"/>
      <c r="H18" s="256"/>
    </row>
    <row r="19" spans="1:8">
      <c r="A19" s="256"/>
      <c r="B19" s="256"/>
      <c r="C19" s="239"/>
      <c r="D19" s="238"/>
      <c r="E19" s="237"/>
      <c r="F19" s="240"/>
      <c r="G19" s="12"/>
      <c r="H19" s="256"/>
    </row>
    <row r="20" spans="1:8">
      <c r="A20" s="256"/>
      <c r="B20" s="256"/>
      <c r="C20" s="239"/>
      <c r="D20" s="238"/>
      <c r="E20" s="237"/>
      <c r="F20" s="240"/>
      <c r="G20" s="12"/>
      <c r="H20" s="256"/>
    </row>
    <row r="21" spans="1:8">
      <c r="A21" s="256"/>
      <c r="B21" s="256"/>
      <c r="C21" s="239"/>
      <c r="D21" s="238"/>
      <c r="E21" s="237"/>
      <c r="F21" s="240"/>
      <c r="G21" s="12"/>
      <c r="H21" s="256"/>
    </row>
    <row r="22" spans="1:8">
      <c r="A22" s="256"/>
      <c r="B22" s="256"/>
      <c r="C22" s="239"/>
      <c r="D22" s="238"/>
      <c r="E22" s="237"/>
      <c r="F22" s="240"/>
      <c r="G22" s="12"/>
      <c r="H22" s="256"/>
    </row>
    <row r="23" spans="1:8">
      <c r="A23" s="256"/>
      <c r="B23" s="256"/>
      <c r="C23" s="239"/>
      <c r="D23" s="238"/>
      <c r="E23" s="237"/>
      <c r="F23" s="240"/>
      <c r="G23" s="12"/>
      <c r="H23" s="256"/>
    </row>
    <row r="24" spans="1:8">
      <c r="A24" s="256"/>
      <c r="B24" s="256"/>
      <c r="C24" s="239"/>
      <c r="D24" s="238"/>
      <c r="E24" s="237"/>
      <c r="F24" s="240"/>
      <c r="G24" s="12"/>
      <c r="H24" s="256"/>
    </row>
    <row r="25" spans="1:8">
      <c r="A25" s="256"/>
      <c r="B25" s="256"/>
      <c r="C25" s="239"/>
      <c r="D25" s="238"/>
      <c r="E25" s="237"/>
      <c r="F25" s="240"/>
      <c r="G25" s="12"/>
      <c r="H25" s="256"/>
    </row>
    <row r="26" spans="1:8">
      <c r="A26" s="256"/>
      <c r="B26" s="256"/>
      <c r="C26" s="239"/>
      <c r="D26" s="238"/>
      <c r="E26" s="237"/>
      <c r="F26" s="240"/>
      <c r="G26" s="12"/>
      <c r="H26" s="256"/>
    </row>
    <row r="27" spans="1:8">
      <c r="A27" s="256"/>
      <c r="B27" s="256"/>
      <c r="C27" s="239"/>
      <c r="D27" s="238"/>
      <c r="E27" s="237"/>
      <c r="F27" s="240"/>
      <c r="G27" s="12"/>
      <c r="H27" s="256"/>
    </row>
    <row r="28" spans="1:8">
      <c r="A28" s="256"/>
      <c r="B28" s="256"/>
      <c r="C28" s="239"/>
      <c r="D28" s="238"/>
      <c r="E28" s="237"/>
      <c r="F28" s="240"/>
      <c r="G28" s="12"/>
      <c r="H28" s="256"/>
    </row>
    <row r="29" spans="1:8">
      <c r="A29" s="256"/>
      <c r="B29" s="256"/>
      <c r="C29" s="239"/>
      <c r="D29" s="238"/>
      <c r="E29" s="237"/>
      <c r="F29" s="240"/>
      <c r="G29" s="12"/>
      <c r="H29" s="256"/>
    </row>
    <row r="30" spans="1:8">
      <c r="A30" s="256"/>
      <c r="B30" s="256"/>
      <c r="C30" s="239"/>
      <c r="D30" s="238"/>
      <c r="E30" s="237"/>
      <c r="F30" s="240"/>
      <c r="G30" s="12"/>
      <c r="H30" s="256"/>
    </row>
    <row r="31" spans="1:8">
      <c r="A31" s="256"/>
      <c r="B31" s="256"/>
      <c r="C31" s="239"/>
      <c r="D31" s="238"/>
      <c r="E31" s="237"/>
      <c r="F31" s="240"/>
      <c r="G31" s="12"/>
      <c r="H31" s="256"/>
    </row>
    <row r="32" spans="1:8">
      <c r="A32" s="256"/>
      <c r="B32" s="256"/>
      <c r="C32" s="239"/>
      <c r="D32" s="238"/>
      <c r="E32" s="237"/>
      <c r="F32" s="240"/>
      <c r="G32" s="12"/>
      <c r="H32" s="256"/>
    </row>
    <row r="33" spans="1:8">
      <c r="A33" s="256"/>
      <c r="B33" s="256"/>
      <c r="C33" s="239"/>
      <c r="D33" s="238"/>
      <c r="E33" s="237"/>
      <c r="F33" s="240"/>
      <c r="G33" s="12"/>
      <c r="H33" s="256"/>
    </row>
    <row r="34" spans="1:8">
      <c r="A34" s="256"/>
      <c r="B34" s="256"/>
      <c r="C34" s="239"/>
      <c r="D34" s="238"/>
      <c r="E34" s="237"/>
      <c r="F34" s="240"/>
      <c r="G34" s="12"/>
      <c r="H34" s="256"/>
    </row>
    <row r="35" spans="1:8">
      <c r="A35" s="256"/>
      <c r="B35" s="256"/>
      <c r="C35" s="239"/>
      <c r="D35" s="238"/>
      <c r="E35" s="237"/>
      <c r="F35" s="240"/>
      <c r="G35" s="12"/>
      <c r="H35" s="256"/>
    </row>
    <row r="36" spans="1:8">
      <c r="A36" s="256"/>
      <c r="B36" s="256"/>
      <c r="C36" s="239"/>
      <c r="D36" s="238"/>
      <c r="E36" s="237"/>
      <c r="F36" s="240"/>
      <c r="G36" s="12"/>
      <c r="H36" s="256"/>
    </row>
    <row r="37" spans="1:8">
      <c r="A37" s="256"/>
      <c r="B37" s="256"/>
      <c r="C37" s="239"/>
      <c r="D37" s="238"/>
      <c r="E37" s="237"/>
      <c r="F37" s="240"/>
      <c r="G37" s="12"/>
      <c r="H37" s="256"/>
    </row>
    <row r="38" spans="1:8">
      <c r="A38" s="256"/>
      <c r="B38" s="256"/>
      <c r="C38" s="239"/>
      <c r="D38" s="238"/>
      <c r="E38" s="237"/>
      <c r="F38" s="240"/>
      <c r="G38" s="12"/>
      <c r="H38" s="256"/>
    </row>
    <row r="39" spans="1:8">
      <c r="A39" s="256"/>
      <c r="B39" s="256"/>
      <c r="C39" s="239"/>
      <c r="D39" s="238"/>
      <c r="E39" s="237"/>
      <c r="F39" s="240"/>
      <c r="G39" s="12"/>
      <c r="H39" s="256"/>
    </row>
    <row r="40" spans="1:8">
      <c r="A40" s="256"/>
      <c r="B40" s="256"/>
      <c r="C40" s="239"/>
      <c r="D40" s="238"/>
      <c r="E40" s="237"/>
      <c r="F40" s="240"/>
      <c r="G40" s="12"/>
      <c r="H40" s="256"/>
    </row>
    <row r="41" spans="1:8">
      <c r="A41" s="256"/>
      <c r="B41" s="256"/>
      <c r="C41" s="239"/>
      <c r="D41" s="238"/>
      <c r="E41" s="237"/>
      <c r="F41" s="240"/>
      <c r="G41" s="12"/>
      <c r="H41" s="256"/>
    </row>
    <row r="42" spans="1:8">
      <c r="A42" s="256"/>
      <c r="B42" s="256"/>
      <c r="C42" s="239"/>
      <c r="D42" s="238"/>
      <c r="E42" s="237"/>
      <c r="F42" s="240"/>
      <c r="G42" s="12"/>
      <c r="H42" s="256"/>
    </row>
    <row r="43" spans="1:8">
      <c r="A43" s="256"/>
      <c r="B43" s="256"/>
      <c r="C43" s="239"/>
      <c r="D43" s="238"/>
      <c r="E43" s="237"/>
      <c r="F43" s="240"/>
      <c r="G43" s="12"/>
      <c r="H43" s="256"/>
    </row>
    <row r="44" spans="1:8">
      <c r="A44" s="256"/>
      <c r="B44" s="256"/>
      <c r="C44" s="239"/>
      <c r="D44" s="238"/>
      <c r="E44" s="237"/>
      <c r="F44" s="240"/>
      <c r="G44" s="12"/>
      <c r="H44" s="256"/>
    </row>
    <row r="45" spans="1:8">
      <c r="A45" s="256"/>
      <c r="B45" s="256"/>
      <c r="C45" s="239"/>
      <c r="D45" s="238"/>
      <c r="E45" s="237"/>
      <c r="F45" s="240"/>
      <c r="G45" s="12"/>
      <c r="H45" s="256"/>
    </row>
  </sheetData>
  <mergeCells count="4">
    <mergeCell ref="D1:D2"/>
    <mergeCell ref="E1:E2"/>
    <mergeCell ref="G1:G2"/>
    <mergeCell ref="H1:H2"/>
  </mergeCells>
  <phoneticPr fontId="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7"/>
  <sheetViews>
    <sheetView zoomScale="115" zoomScaleNormal="115" workbookViewId="0">
      <selection activeCell="C1" sqref="C1"/>
    </sheetView>
  </sheetViews>
  <sheetFormatPr defaultColWidth="9.28515625" defaultRowHeight="13.15"/>
  <cols>
    <col min="1" max="1" width="10.7109375" style="17" customWidth="1"/>
    <col min="2" max="2" width="34.7109375" style="17" customWidth="1"/>
    <col min="3" max="3" width="43" style="17" customWidth="1"/>
    <col min="4" max="4" width="43.28515625" style="65" customWidth="1"/>
    <col min="5" max="16384" width="9.28515625" style="17"/>
  </cols>
  <sheetData>
    <row r="1" spans="1:4" ht="19.350000000000001" customHeight="1">
      <c r="A1" s="120" t="s">
        <v>404</v>
      </c>
      <c r="B1" s="120" t="s">
        <v>405</v>
      </c>
      <c r="C1" s="120" t="s">
        <v>406</v>
      </c>
      <c r="D1" s="157" t="s">
        <v>407</v>
      </c>
    </row>
    <row r="2" spans="1:4">
      <c r="A2" s="241" t="s">
        <v>239</v>
      </c>
      <c r="B2" s="156" t="s">
        <v>408</v>
      </c>
      <c r="C2" s="156"/>
      <c r="D2" s="158"/>
    </row>
    <row r="3" spans="1:4">
      <c r="A3" s="242"/>
      <c r="B3" s="156" t="s">
        <v>409</v>
      </c>
      <c r="C3" s="156"/>
      <c r="D3" s="158"/>
    </row>
    <row r="4" spans="1:4">
      <c r="A4" s="242"/>
      <c r="B4" s="156" t="s">
        <v>410</v>
      </c>
      <c r="C4" s="156"/>
      <c r="D4" s="158"/>
    </row>
    <row r="5" spans="1:4">
      <c r="A5" s="242"/>
      <c r="B5" s="156" t="s">
        <v>411</v>
      </c>
      <c r="C5" s="156"/>
      <c r="D5" s="158"/>
    </row>
    <row r="6" spans="1:4">
      <c r="A6" s="242"/>
      <c r="B6" s="156" t="s">
        <v>412</v>
      </c>
      <c r="C6" s="156"/>
      <c r="D6" s="243"/>
    </row>
    <row r="7" spans="1:4">
      <c r="A7" s="242"/>
      <c r="B7" s="38" t="s">
        <v>413</v>
      </c>
      <c r="C7" s="38"/>
      <c r="D7" s="247"/>
    </row>
    <row r="8" spans="1:4">
      <c r="A8" s="242"/>
      <c r="B8" s="38" t="s">
        <v>414</v>
      </c>
      <c r="C8" s="38"/>
      <c r="D8" s="247"/>
    </row>
    <row r="9" spans="1:4">
      <c r="A9" s="242"/>
      <c r="B9" s="38" t="s">
        <v>415</v>
      </c>
      <c r="C9" s="38"/>
      <c r="D9" s="247"/>
    </row>
    <row r="10" spans="1:4" ht="2.65" customHeight="1">
      <c r="A10" s="244"/>
      <c r="B10" s="245"/>
      <c r="C10" s="245"/>
      <c r="D10" s="246"/>
    </row>
    <row r="11" spans="1:4">
      <c r="A11" s="242" t="s">
        <v>160</v>
      </c>
      <c r="B11" s="156" t="s">
        <v>416</v>
      </c>
      <c r="C11" s="156"/>
      <c r="D11" s="243"/>
    </row>
    <row r="12" spans="1:4">
      <c r="A12" s="242"/>
      <c r="B12" s="156" t="s">
        <v>416</v>
      </c>
      <c r="C12" s="156"/>
      <c r="D12" s="243"/>
    </row>
    <row r="13" spans="1:4">
      <c r="A13" s="242"/>
      <c r="B13" s="156" t="s">
        <v>417</v>
      </c>
      <c r="C13" s="156"/>
      <c r="D13" s="158"/>
    </row>
    <row r="14" spans="1:4">
      <c r="A14" s="242"/>
      <c r="B14" s="156" t="s">
        <v>417</v>
      </c>
      <c r="C14" s="156"/>
      <c r="D14" s="243"/>
    </row>
    <row r="15" spans="1:4">
      <c r="A15" s="242"/>
      <c r="B15" s="156" t="s">
        <v>417</v>
      </c>
      <c r="C15" s="156"/>
      <c r="D15" s="243"/>
    </row>
    <row r="16" spans="1:4">
      <c r="A16" s="242"/>
      <c r="B16" s="156" t="s">
        <v>418</v>
      </c>
      <c r="C16" s="156"/>
      <c r="D16" s="243"/>
    </row>
    <row r="17" spans="1:4">
      <c r="A17" s="242"/>
      <c r="B17" s="156" t="s">
        <v>419</v>
      </c>
      <c r="C17" s="156"/>
      <c r="D17" s="158"/>
    </row>
    <row r="18" spans="1:4">
      <c r="A18" s="242"/>
      <c r="B18" s="156" t="s">
        <v>419</v>
      </c>
      <c r="C18" s="156"/>
      <c r="D18" s="243"/>
    </row>
    <row r="19" spans="1:4">
      <c r="A19" s="242"/>
      <c r="B19" s="156" t="s">
        <v>419</v>
      </c>
      <c r="C19" s="156"/>
      <c r="D19" s="158"/>
    </row>
    <row r="20" spans="1:4">
      <c r="A20" s="242"/>
      <c r="B20" s="156" t="s">
        <v>419</v>
      </c>
      <c r="C20" s="156"/>
      <c r="D20" s="158"/>
    </row>
    <row r="21" spans="1:4">
      <c r="A21" s="242"/>
      <c r="B21" s="156" t="s">
        <v>420</v>
      </c>
      <c r="C21" s="156"/>
      <c r="D21" s="158"/>
    </row>
    <row r="22" spans="1:4">
      <c r="A22" s="242"/>
      <c r="B22" s="156" t="s">
        <v>421</v>
      </c>
      <c r="C22" s="156"/>
      <c r="D22" s="158"/>
    </row>
    <row r="23" spans="1:4">
      <c r="A23" s="242"/>
      <c r="B23" s="156" t="s">
        <v>408</v>
      </c>
      <c r="C23" s="156"/>
      <c r="D23" s="158"/>
    </row>
    <row r="24" spans="1:4">
      <c r="A24" s="242"/>
      <c r="B24" s="156" t="s">
        <v>408</v>
      </c>
      <c r="C24" s="156"/>
      <c r="D24" s="158"/>
    </row>
    <row r="25" spans="1:4">
      <c r="A25" s="242"/>
      <c r="B25" s="156" t="s">
        <v>408</v>
      </c>
      <c r="C25" s="156"/>
      <c r="D25" s="158"/>
    </row>
    <row r="26" spans="1:4">
      <c r="A26" s="242"/>
      <c r="B26" s="156" t="s">
        <v>422</v>
      </c>
      <c r="C26" s="156"/>
      <c r="D26" s="158"/>
    </row>
    <row r="27" spans="1:4">
      <c r="A27" s="242"/>
      <c r="B27" s="156"/>
      <c r="C27" s="156"/>
      <c r="D27" s="158"/>
    </row>
  </sheetData>
  <pageMargins left="0.7" right="0.7" top="0.75" bottom="0.75" header="0.3" footer="0.3"/>
  <pageSetup orientation="portrait" horizontalDpi="90" verticalDpi="90" r:id="rId1"/>
  <headerFooter>
    <oddFooter>&amp;C&amp;1#&amp;"Arial"&amp;7&amp;K000000Sensitivity: Internal &amp; Restricted</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zoomScale="90" zoomScaleNormal="90" workbookViewId="0">
      <selection activeCell="C2" sqref="C2"/>
    </sheetView>
  </sheetViews>
  <sheetFormatPr defaultColWidth="8.7109375" defaultRowHeight="14.45"/>
  <cols>
    <col min="1" max="1" width="6.7109375" style="155" customWidth="1"/>
    <col min="2" max="2" width="93.7109375" style="155" bestFit="1" customWidth="1"/>
    <col min="3" max="3" width="15.5703125" style="155" customWidth="1"/>
    <col min="4" max="4" width="15.7109375" style="155" bestFit="1" customWidth="1"/>
    <col min="5" max="5" width="32" style="155" customWidth="1"/>
    <col min="6" max="6" width="13.28515625" style="155" bestFit="1" customWidth="1"/>
    <col min="7" max="7" width="11" style="155" bestFit="1" customWidth="1"/>
    <col min="8" max="16384" width="8.7109375" style="155"/>
  </cols>
  <sheetData>
    <row r="1" spans="1:7" s="190" customFormat="1" ht="19.350000000000001" customHeight="1">
      <c r="A1" s="120" t="s">
        <v>75</v>
      </c>
      <c r="B1" s="120" t="s">
        <v>423</v>
      </c>
      <c r="C1" s="120" t="s">
        <v>424</v>
      </c>
      <c r="D1" s="120" t="s">
        <v>425</v>
      </c>
      <c r="E1" s="157" t="s">
        <v>426</v>
      </c>
      <c r="F1" s="120" t="s">
        <v>427</v>
      </c>
      <c r="G1" s="120" t="s">
        <v>428</v>
      </c>
    </row>
    <row r="2" spans="1:7">
      <c r="A2" s="195">
        <v>1</v>
      </c>
      <c r="B2" s="195" t="s">
        <v>74</v>
      </c>
      <c r="C2" s="195"/>
      <c r="D2" s="196"/>
      <c r="E2" s="195"/>
      <c r="F2" s="195"/>
      <c r="G2" s="195"/>
    </row>
    <row r="3" spans="1:7">
      <c r="A3" s="195"/>
      <c r="B3" s="195"/>
      <c r="C3" s="195"/>
      <c r="D3" s="196"/>
      <c r="E3" s="195"/>
      <c r="F3" s="195"/>
      <c r="G3" s="195"/>
    </row>
    <row r="4" spans="1:7">
      <c r="A4" s="195"/>
      <c r="B4" s="195"/>
      <c r="C4" s="195"/>
      <c r="D4" s="196"/>
      <c r="E4" s="195"/>
      <c r="F4" s="195"/>
      <c r="G4" s="195"/>
    </row>
    <row r="5" spans="1:7">
      <c r="A5" s="195"/>
      <c r="B5" s="195"/>
      <c r="C5" s="195"/>
      <c r="D5" s="196"/>
      <c r="E5" s="195"/>
      <c r="F5" s="195"/>
      <c r="G5" s="195"/>
    </row>
    <row r="6" spans="1:7" ht="72" customHeight="1">
      <c r="A6" s="195"/>
      <c r="B6" s="195"/>
      <c r="C6" s="195"/>
      <c r="D6" s="196"/>
      <c r="E6" s="195"/>
      <c r="F6" s="195"/>
      <c r="G6" s="195"/>
    </row>
    <row r="7" spans="1:7">
      <c r="A7" s="195"/>
      <c r="B7" s="195"/>
      <c r="C7" s="195"/>
      <c r="D7" s="196"/>
      <c r="E7" s="195"/>
      <c r="F7" s="195"/>
      <c r="G7" s="195"/>
    </row>
    <row r="8" spans="1:7">
      <c r="A8" s="195"/>
      <c r="B8" s="195"/>
      <c r="C8" s="195"/>
      <c r="D8" s="196"/>
      <c r="E8" s="195"/>
      <c r="F8" s="195"/>
      <c r="G8" s="195"/>
    </row>
    <row r="9" spans="1:7">
      <c r="A9" s="195"/>
      <c r="B9" s="195"/>
      <c r="C9" s="195"/>
      <c r="D9" s="196"/>
      <c r="E9" s="195"/>
      <c r="F9" s="195"/>
      <c r="G9" s="195"/>
    </row>
    <row r="10" spans="1:7">
      <c r="A10" s="195"/>
      <c r="B10" s="195"/>
      <c r="C10" s="195"/>
      <c r="D10" s="196"/>
      <c r="E10" s="195"/>
      <c r="F10" s="195"/>
      <c r="G10" s="195"/>
    </row>
    <row r="11" spans="1:7">
      <c r="A11" s="195"/>
      <c r="B11" s="195"/>
      <c r="C11" s="195"/>
      <c r="D11" s="196"/>
      <c r="E11" s="195"/>
      <c r="F11" s="195"/>
      <c r="G11" s="195"/>
    </row>
    <row r="12" spans="1:7">
      <c r="A12" s="195"/>
      <c r="B12" s="195"/>
      <c r="C12" s="195"/>
      <c r="D12" s="196"/>
      <c r="E12" s="195"/>
      <c r="F12" s="195"/>
      <c r="G12" s="195"/>
    </row>
    <row r="13" spans="1:7">
      <c r="A13" s="195"/>
      <c r="B13" s="195"/>
      <c r="C13" s="195"/>
      <c r="D13" s="196"/>
      <c r="E13" s="195"/>
      <c r="F13" s="195"/>
      <c r="G13" s="195"/>
    </row>
    <row r="14" spans="1:7">
      <c r="A14" s="195"/>
      <c r="B14" s="195"/>
      <c r="C14" s="195"/>
      <c r="D14" s="196"/>
      <c r="E14" s="195"/>
      <c r="F14" s="195"/>
      <c r="G14" s="195"/>
    </row>
    <row r="15" spans="1:7">
      <c r="A15" s="195"/>
      <c r="B15" s="195"/>
      <c r="C15" s="195"/>
      <c r="D15" s="196"/>
      <c r="E15" s="195"/>
      <c r="F15" s="195"/>
      <c r="G15" s="195"/>
    </row>
    <row r="16" spans="1:7">
      <c r="A16" s="195"/>
      <c r="B16" s="195"/>
      <c r="C16" s="195"/>
      <c r="D16" s="196"/>
      <c r="E16" s="195"/>
      <c r="F16" s="195"/>
      <c r="G16" s="195"/>
    </row>
    <row r="17" spans="4:5">
      <c r="D17" s="204"/>
    </row>
    <row r="20" spans="4:5">
      <c r="E20" s="155" t="s">
        <v>30</v>
      </c>
    </row>
  </sheetData>
  <autoFilter ref="A1:G17" xr:uid="{AC6D1A91-D90F-4F21-BA1F-AA0A11408A8B}"/>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C743"/>
  <sheetViews>
    <sheetView zoomScale="80" zoomScaleNormal="80" workbookViewId="0">
      <selection activeCell="A19" sqref="A19"/>
    </sheetView>
  </sheetViews>
  <sheetFormatPr defaultColWidth="8.7109375" defaultRowHeight="14.45"/>
  <cols>
    <col min="1" max="1" width="12.5703125" bestFit="1" customWidth="1"/>
    <col min="2" max="2" width="16.28515625" customWidth="1"/>
    <col min="3" max="3" width="13.5703125" customWidth="1"/>
    <col min="4" max="4" width="25.28515625" bestFit="1" customWidth="1"/>
    <col min="5" max="5" width="17.5703125" style="13" customWidth="1"/>
    <col min="6" max="6" width="25" customWidth="1"/>
    <col min="7" max="7" width="18.5703125" customWidth="1"/>
    <col min="8" max="8" width="21.7109375" customWidth="1"/>
    <col min="9" max="10" width="16" customWidth="1"/>
    <col min="11" max="11" width="17.42578125" style="5" customWidth="1"/>
    <col min="12" max="12" width="14.5703125" style="5" customWidth="1"/>
    <col min="13" max="13" width="12.5703125" style="5" customWidth="1"/>
    <col min="14" max="14" width="17" customWidth="1"/>
    <col min="15" max="15" width="15.42578125" customWidth="1"/>
    <col min="16" max="16" width="13.42578125" customWidth="1"/>
    <col min="17" max="17" width="12.42578125" bestFit="1" customWidth="1"/>
    <col min="18" max="18" width="17.42578125" style="5" customWidth="1"/>
    <col min="19" max="20" width="16.7109375" style="5" customWidth="1"/>
    <col min="21" max="21" width="17.28515625" style="5" customWidth="1"/>
    <col min="22" max="22" width="26.5703125" customWidth="1"/>
    <col min="23" max="23" width="16.5703125" customWidth="1"/>
    <col min="24" max="25" width="19.42578125" customWidth="1"/>
    <col min="26" max="26" width="17.28515625" customWidth="1"/>
    <col min="27" max="27" width="19.28515625" customWidth="1"/>
    <col min="28" max="28" width="17" customWidth="1"/>
    <col min="29" max="29" width="18.5703125" customWidth="1"/>
    <col min="30" max="30" width="16.42578125" customWidth="1"/>
    <col min="31" max="31" width="18" customWidth="1"/>
    <col min="32" max="32" width="16.5703125" customWidth="1"/>
    <col min="33" max="33" width="18.28515625" customWidth="1"/>
    <col min="34" max="34" width="18.5703125" customWidth="1"/>
    <col min="35" max="36" width="18.42578125" style="5" customWidth="1"/>
    <col min="37" max="37" width="16.5703125" style="5" customWidth="1"/>
    <col min="38" max="38" width="16" style="5" customWidth="1"/>
    <col min="39" max="39" width="18.7109375" style="5" customWidth="1"/>
    <col min="40" max="40" width="19.42578125" style="5" customWidth="1"/>
    <col min="41" max="41" width="20.28515625" style="5" customWidth="1"/>
    <col min="42" max="42" width="17.42578125" style="5" customWidth="1"/>
    <col min="43" max="44" width="18" style="5" customWidth="1"/>
    <col min="45" max="45" width="18.42578125" style="5" customWidth="1"/>
    <col min="46" max="55" width="17" customWidth="1"/>
    <col min="169" max="169" width="12.5703125" bestFit="1" customWidth="1"/>
    <col min="170" max="170" width="12.5703125" customWidth="1"/>
    <col min="171" max="171" width="13.5703125" bestFit="1" customWidth="1"/>
    <col min="172" max="172" width="15" bestFit="1" customWidth="1"/>
    <col min="173" max="173" width="15" customWidth="1"/>
    <col min="174" max="178" width="18.5703125" customWidth="1"/>
    <col min="179" max="180" width="31.42578125" customWidth="1"/>
    <col min="181" max="181" width="13.5703125" bestFit="1" customWidth="1"/>
    <col min="182" max="182" width="13.5703125" customWidth="1"/>
    <col min="183" max="183" width="20.5703125" customWidth="1"/>
    <col min="184" max="184" width="16" customWidth="1"/>
    <col min="185" max="185" width="12.28515625" bestFit="1" customWidth="1"/>
    <col min="186" max="186" width="17.5703125" customWidth="1"/>
    <col min="187" max="187" width="16" customWidth="1"/>
    <col min="188" max="188" width="21" customWidth="1"/>
    <col min="189" max="189" width="17.5703125" customWidth="1"/>
    <col min="190" max="190" width="27" customWidth="1"/>
    <col min="191" max="193" width="23.28515625" customWidth="1"/>
    <col min="194" max="194" width="15.7109375" customWidth="1"/>
    <col min="195" max="195" width="16.42578125" customWidth="1"/>
    <col min="196" max="198" width="19.28515625" customWidth="1"/>
    <col min="199" max="200" width="5.28515625" bestFit="1" customWidth="1"/>
    <col min="201" max="201" width="12.7109375" customWidth="1"/>
    <col min="202" max="203" width="19.28515625" customWidth="1"/>
    <col min="204" max="206" width="13.5703125" customWidth="1"/>
    <col min="207" max="207" width="15.5703125" customWidth="1"/>
    <col min="208" max="209" width="14.7109375" customWidth="1"/>
    <col min="210" max="211" width="14.28515625" customWidth="1"/>
    <col min="212" max="212" width="13.5703125" bestFit="1" customWidth="1"/>
    <col min="213" max="213" width="19.5703125" customWidth="1"/>
    <col min="214" max="214" width="22" customWidth="1"/>
    <col min="215" max="215" width="14.5703125" customWidth="1"/>
    <col min="216" max="216" width="15" customWidth="1"/>
    <col min="217" max="217" width="12.5703125" bestFit="1" customWidth="1"/>
    <col min="218" max="218" width="14.42578125" customWidth="1"/>
    <col min="219" max="219" width="19.42578125" bestFit="1" customWidth="1"/>
    <col min="220" max="220" width="29.5703125" customWidth="1"/>
    <col min="221" max="221" width="8.7109375" bestFit="1" customWidth="1"/>
    <col min="222" max="223" width="8.7109375" customWidth="1"/>
    <col min="224" max="225" width="16" customWidth="1"/>
    <col min="226" max="226" width="17.42578125" customWidth="1"/>
    <col min="227" max="227" width="14.5703125" customWidth="1"/>
    <col min="228" max="230" width="12.5703125" customWidth="1"/>
    <col min="231" max="231" width="14.42578125" customWidth="1"/>
    <col min="232" max="232" width="12.5703125" customWidth="1"/>
    <col min="233" max="235" width="14.5703125" customWidth="1"/>
    <col min="236" max="236" width="12.5703125" customWidth="1"/>
    <col min="237" max="237" width="11.42578125" customWidth="1"/>
    <col min="238" max="246" width="15.28515625" customWidth="1"/>
    <col min="247" max="247" width="13" customWidth="1"/>
    <col min="248" max="250" width="14.28515625" customWidth="1"/>
    <col min="251" max="251" width="13.42578125" customWidth="1"/>
    <col min="252" max="254" width="19.28515625" customWidth="1"/>
    <col min="255" max="255" width="26.42578125" customWidth="1"/>
    <col min="256" max="256" width="8.5703125" customWidth="1"/>
    <col min="257" max="258" width="19.42578125" customWidth="1"/>
    <col min="259" max="259" width="17.28515625" customWidth="1"/>
    <col min="260" max="260" width="16.5703125" customWidth="1"/>
    <col min="261" max="261" width="12.42578125" bestFit="1" customWidth="1"/>
    <col min="262" max="268" width="12.42578125" customWidth="1"/>
    <col min="269" max="269" width="20.42578125" bestFit="1" customWidth="1"/>
    <col min="270" max="270" width="21.7109375" customWidth="1"/>
    <col min="271" max="271" width="17" bestFit="1" customWidth="1"/>
    <col min="272" max="272" width="19.42578125" bestFit="1" customWidth="1"/>
    <col min="273" max="273" width="10.7109375" bestFit="1" customWidth="1"/>
    <col min="274" max="274" width="17" customWidth="1"/>
    <col min="275" max="276" width="12.42578125" customWidth="1"/>
    <col min="277" max="278" width="18.28515625" customWidth="1"/>
    <col min="279" max="279" width="9.28515625" bestFit="1" customWidth="1"/>
    <col min="280" max="280" width="15.42578125" customWidth="1"/>
    <col min="281" max="281" width="8.42578125" bestFit="1" customWidth="1"/>
    <col min="282" max="282" width="11.5703125" customWidth="1"/>
    <col min="283" max="283" width="8.42578125" customWidth="1"/>
    <col min="284" max="284" width="10.42578125" customWidth="1"/>
    <col min="285" max="285" width="11.28515625" customWidth="1"/>
    <col min="286" max="288" width="10.5703125" customWidth="1"/>
    <col min="289" max="289" width="11.28515625" customWidth="1"/>
    <col min="290" max="292" width="10.5703125" customWidth="1"/>
    <col min="425" max="425" width="12.5703125" bestFit="1" customWidth="1"/>
    <col min="426" max="426" width="12.5703125" customWidth="1"/>
    <col min="427" max="427" width="13.5703125" bestFit="1" customWidth="1"/>
    <col min="428" max="428" width="15" bestFit="1" customWidth="1"/>
    <col min="429" max="429" width="15" customWidth="1"/>
    <col min="430" max="434" width="18.5703125" customWidth="1"/>
    <col min="435" max="436" width="31.42578125" customWidth="1"/>
    <col min="437" max="437" width="13.5703125" bestFit="1" customWidth="1"/>
    <col min="438" max="438" width="13.5703125" customWidth="1"/>
    <col min="439" max="439" width="20.5703125" customWidth="1"/>
    <col min="440" max="440" width="16" customWidth="1"/>
    <col min="441" max="441" width="12.28515625" bestFit="1" customWidth="1"/>
    <col min="442" max="442" width="17.5703125" customWidth="1"/>
    <col min="443" max="443" width="16" customWidth="1"/>
    <col min="444" max="444" width="21" customWidth="1"/>
    <col min="445" max="445" width="17.5703125" customWidth="1"/>
    <col min="446" max="446" width="27" customWidth="1"/>
    <col min="447" max="449" width="23.28515625" customWidth="1"/>
    <col min="450" max="450" width="15.7109375" customWidth="1"/>
    <col min="451" max="451" width="16.42578125" customWidth="1"/>
    <col min="452" max="454" width="19.28515625" customWidth="1"/>
    <col min="455" max="456" width="5.28515625" bestFit="1" customWidth="1"/>
    <col min="457" max="457" width="12.7109375" customWidth="1"/>
    <col min="458" max="459" width="19.28515625" customWidth="1"/>
    <col min="460" max="462" width="13.5703125" customWidth="1"/>
    <col min="463" max="463" width="15.5703125" customWidth="1"/>
    <col min="464" max="465" width="14.7109375" customWidth="1"/>
    <col min="466" max="467" width="14.28515625" customWidth="1"/>
    <col min="468" max="468" width="13.5703125" bestFit="1" customWidth="1"/>
    <col min="469" max="469" width="19.5703125" customWidth="1"/>
    <col min="470" max="470" width="22" customWidth="1"/>
    <col min="471" max="471" width="14.5703125" customWidth="1"/>
    <col min="472" max="472" width="15" customWidth="1"/>
    <col min="473" max="473" width="12.5703125" bestFit="1" customWidth="1"/>
    <col min="474" max="474" width="14.42578125" customWidth="1"/>
    <col min="475" max="475" width="19.42578125" bestFit="1" customWidth="1"/>
    <col min="476" max="476" width="29.5703125" customWidth="1"/>
    <col min="477" max="477" width="8.7109375" bestFit="1" customWidth="1"/>
    <col min="478" max="479" width="8.7109375" customWidth="1"/>
    <col min="480" max="481" width="16" customWidth="1"/>
    <col min="482" max="482" width="17.42578125" customWidth="1"/>
    <col min="483" max="483" width="14.5703125" customWidth="1"/>
    <col min="484" max="486" width="12.5703125" customWidth="1"/>
    <col min="487" max="487" width="14.42578125" customWidth="1"/>
    <col min="488" max="488" width="12.5703125" customWidth="1"/>
    <col min="489" max="491" width="14.5703125" customWidth="1"/>
    <col min="492" max="492" width="12.5703125" customWidth="1"/>
    <col min="493" max="493" width="11.42578125" customWidth="1"/>
    <col min="494" max="502" width="15.28515625" customWidth="1"/>
    <col min="503" max="503" width="13" customWidth="1"/>
    <col min="504" max="506" width="14.28515625" customWidth="1"/>
    <col min="507" max="507" width="13.42578125" customWidth="1"/>
    <col min="508" max="510" width="19.28515625" customWidth="1"/>
    <col min="511" max="511" width="26.42578125" customWidth="1"/>
    <col min="512" max="512" width="8.5703125" customWidth="1"/>
    <col min="513" max="514" width="19.42578125" customWidth="1"/>
    <col min="515" max="515" width="17.28515625" customWidth="1"/>
    <col min="516" max="516" width="16.5703125" customWidth="1"/>
    <col min="517" max="517" width="12.42578125" bestFit="1" customWidth="1"/>
    <col min="518" max="524" width="12.42578125" customWidth="1"/>
    <col min="525" max="525" width="20.42578125" bestFit="1" customWidth="1"/>
    <col min="526" max="526" width="21.7109375" customWidth="1"/>
    <col min="527" max="527" width="17" bestFit="1" customWidth="1"/>
    <col min="528" max="528" width="19.42578125" bestFit="1" customWidth="1"/>
    <col min="529" max="529" width="10.7109375" bestFit="1" customWidth="1"/>
    <col min="530" max="530" width="17" customWidth="1"/>
    <col min="531" max="532" width="12.42578125" customWidth="1"/>
    <col min="533" max="534" width="18.28515625" customWidth="1"/>
    <col min="535" max="535" width="9.28515625" bestFit="1" customWidth="1"/>
    <col min="536" max="536" width="15.42578125" customWidth="1"/>
    <col min="537" max="537" width="8.42578125" bestFit="1" customWidth="1"/>
    <col min="538" max="538" width="11.5703125" customWidth="1"/>
    <col min="539" max="539" width="8.42578125" customWidth="1"/>
    <col min="540" max="540" width="10.42578125" customWidth="1"/>
    <col min="541" max="541" width="11.28515625" customWidth="1"/>
    <col min="542" max="544" width="10.5703125" customWidth="1"/>
    <col min="545" max="545" width="11.28515625" customWidth="1"/>
    <col min="546" max="548" width="10.5703125" customWidth="1"/>
    <col min="681" max="681" width="12.5703125" bestFit="1" customWidth="1"/>
    <col min="682" max="682" width="12.5703125" customWidth="1"/>
    <col min="683" max="683" width="13.5703125" bestFit="1" customWidth="1"/>
    <col min="684" max="684" width="15" bestFit="1" customWidth="1"/>
    <col min="685" max="685" width="15" customWidth="1"/>
    <col min="686" max="690" width="18.5703125" customWidth="1"/>
    <col min="691" max="692" width="31.42578125" customWidth="1"/>
    <col min="693" max="693" width="13.5703125" bestFit="1" customWidth="1"/>
    <col min="694" max="694" width="13.5703125" customWidth="1"/>
    <col min="695" max="695" width="20.5703125" customWidth="1"/>
    <col min="696" max="696" width="16" customWidth="1"/>
    <col min="697" max="697" width="12.28515625" bestFit="1" customWidth="1"/>
    <col min="698" max="698" width="17.5703125" customWidth="1"/>
    <col min="699" max="699" width="16" customWidth="1"/>
    <col min="700" max="700" width="21" customWidth="1"/>
    <col min="701" max="701" width="17.5703125" customWidth="1"/>
    <col min="702" max="702" width="27" customWidth="1"/>
    <col min="703" max="705" width="23.28515625" customWidth="1"/>
    <col min="706" max="706" width="15.7109375" customWidth="1"/>
    <col min="707" max="707" width="16.42578125" customWidth="1"/>
    <col min="708" max="710" width="19.28515625" customWidth="1"/>
    <col min="711" max="712" width="5.28515625" bestFit="1" customWidth="1"/>
    <col min="713" max="713" width="12.7109375" customWidth="1"/>
    <col min="714" max="715" width="19.28515625" customWidth="1"/>
    <col min="716" max="718" width="13.5703125" customWidth="1"/>
    <col min="719" max="719" width="15.5703125" customWidth="1"/>
    <col min="720" max="721" width="14.7109375" customWidth="1"/>
    <col min="722" max="723" width="14.28515625" customWidth="1"/>
    <col min="724" max="724" width="13.5703125" bestFit="1" customWidth="1"/>
    <col min="725" max="725" width="19.5703125" customWidth="1"/>
    <col min="726" max="726" width="22" customWidth="1"/>
    <col min="727" max="727" width="14.5703125" customWidth="1"/>
    <col min="728" max="728" width="15" customWidth="1"/>
    <col min="729" max="729" width="12.5703125" bestFit="1" customWidth="1"/>
    <col min="730" max="730" width="14.42578125" customWidth="1"/>
    <col min="731" max="731" width="19.42578125" bestFit="1" customWidth="1"/>
    <col min="732" max="732" width="29.5703125" customWidth="1"/>
    <col min="733" max="733" width="8.7109375" bestFit="1" customWidth="1"/>
    <col min="734" max="735" width="8.7109375" customWidth="1"/>
    <col min="736" max="737" width="16" customWidth="1"/>
    <col min="738" max="738" width="17.42578125" customWidth="1"/>
    <col min="739" max="739" width="14.5703125" customWidth="1"/>
    <col min="740" max="742" width="12.5703125" customWidth="1"/>
    <col min="743" max="743" width="14.42578125" customWidth="1"/>
    <col min="744" max="744" width="12.5703125" customWidth="1"/>
    <col min="745" max="747" width="14.5703125" customWidth="1"/>
    <col min="748" max="748" width="12.5703125" customWidth="1"/>
    <col min="749" max="749" width="11.42578125" customWidth="1"/>
    <col min="750" max="758" width="15.28515625" customWidth="1"/>
    <col min="759" max="759" width="13" customWidth="1"/>
    <col min="760" max="762" width="14.28515625" customWidth="1"/>
    <col min="763" max="763" width="13.42578125" customWidth="1"/>
    <col min="764" max="766" width="19.28515625" customWidth="1"/>
    <col min="767" max="767" width="26.42578125" customWidth="1"/>
    <col min="768" max="768" width="8.5703125" customWidth="1"/>
    <col min="769" max="770" width="19.42578125" customWidth="1"/>
    <col min="771" max="771" width="17.28515625" customWidth="1"/>
    <col min="772" max="772" width="16.5703125" customWidth="1"/>
    <col min="773" max="773" width="12.42578125" bestFit="1" customWidth="1"/>
    <col min="774" max="780" width="12.42578125" customWidth="1"/>
    <col min="781" max="781" width="20.42578125" bestFit="1" customWidth="1"/>
    <col min="782" max="782" width="21.7109375" customWidth="1"/>
    <col min="783" max="783" width="17" bestFit="1" customWidth="1"/>
    <col min="784" max="784" width="19.42578125" bestFit="1" customWidth="1"/>
    <col min="785" max="785" width="10.7109375" bestFit="1" customWidth="1"/>
    <col min="786" max="786" width="17" customWidth="1"/>
    <col min="787" max="788" width="12.42578125" customWidth="1"/>
    <col min="789" max="790" width="18.28515625" customWidth="1"/>
    <col min="791" max="791" width="9.28515625" bestFit="1" customWidth="1"/>
    <col min="792" max="792" width="15.42578125" customWidth="1"/>
    <col min="793" max="793" width="8.42578125" bestFit="1" customWidth="1"/>
    <col min="794" max="794" width="11.5703125" customWidth="1"/>
    <col min="795" max="795" width="8.42578125" customWidth="1"/>
    <col min="796" max="796" width="10.42578125" customWidth="1"/>
    <col min="797" max="797" width="11.28515625" customWidth="1"/>
    <col min="798" max="800" width="10.5703125" customWidth="1"/>
    <col min="801" max="801" width="11.28515625" customWidth="1"/>
    <col min="802" max="804" width="10.5703125" customWidth="1"/>
    <col min="937" max="937" width="12.5703125" bestFit="1" customWidth="1"/>
    <col min="938" max="938" width="12.5703125" customWidth="1"/>
    <col min="939" max="939" width="13.5703125" bestFit="1" customWidth="1"/>
    <col min="940" max="940" width="15" bestFit="1" customWidth="1"/>
    <col min="941" max="941" width="15" customWidth="1"/>
    <col min="942" max="946" width="18.5703125" customWidth="1"/>
    <col min="947" max="948" width="31.42578125" customWidth="1"/>
    <col min="949" max="949" width="13.5703125" bestFit="1" customWidth="1"/>
    <col min="950" max="950" width="13.5703125" customWidth="1"/>
    <col min="951" max="951" width="20.5703125" customWidth="1"/>
    <col min="952" max="952" width="16" customWidth="1"/>
    <col min="953" max="953" width="12.28515625" bestFit="1" customWidth="1"/>
    <col min="954" max="954" width="17.5703125" customWidth="1"/>
    <col min="955" max="955" width="16" customWidth="1"/>
    <col min="956" max="956" width="21" customWidth="1"/>
    <col min="957" max="957" width="17.5703125" customWidth="1"/>
    <col min="958" max="958" width="27" customWidth="1"/>
    <col min="959" max="961" width="23.28515625" customWidth="1"/>
    <col min="962" max="962" width="15.7109375" customWidth="1"/>
    <col min="963" max="963" width="16.42578125" customWidth="1"/>
    <col min="964" max="966" width="19.28515625" customWidth="1"/>
    <col min="967" max="968" width="5.28515625" bestFit="1" customWidth="1"/>
    <col min="969" max="969" width="12.7109375" customWidth="1"/>
    <col min="970" max="971" width="19.28515625" customWidth="1"/>
    <col min="972" max="974" width="13.5703125" customWidth="1"/>
    <col min="975" max="975" width="15.5703125" customWidth="1"/>
    <col min="976" max="977" width="14.7109375" customWidth="1"/>
    <col min="978" max="979" width="14.28515625" customWidth="1"/>
    <col min="980" max="980" width="13.5703125" bestFit="1" customWidth="1"/>
    <col min="981" max="981" width="19.5703125" customWidth="1"/>
    <col min="982" max="982" width="22" customWidth="1"/>
    <col min="983" max="983" width="14.5703125" customWidth="1"/>
    <col min="984" max="984" width="15" customWidth="1"/>
    <col min="985" max="985" width="12.5703125" bestFit="1" customWidth="1"/>
    <col min="986" max="986" width="14.42578125" customWidth="1"/>
    <col min="987" max="987" width="19.42578125" bestFit="1" customWidth="1"/>
    <col min="988" max="988" width="29.5703125" customWidth="1"/>
    <col min="989" max="989" width="8.7109375" bestFit="1" customWidth="1"/>
    <col min="990" max="991" width="8.7109375" customWidth="1"/>
    <col min="992" max="993" width="16" customWidth="1"/>
    <col min="994" max="994" width="17.42578125" customWidth="1"/>
    <col min="995" max="995" width="14.5703125" customWidth="1"/>
    <col min="996" max="998" width="12.5703125" customWidth="1"/>
    <col min="999" max="999" width="14.42578125" customWidth="1"/>
    <col min="1000" max="1000" width="12.5703125" customWidth="1"/>
    <col min="1001" max="1003" width="14.5703125" customWidth="1"/>
    <col min="1004" max="1004" width="12.5703125" customWidth="1"/>
    <col min="1005" max="1005" width="11.42578125" customWidth="1"/>
    <col min="1006" max="1014" width="15.28515625" customWidth="1"/>
    <col min="1015" max="1015" width="13" customWidth="1"/>
    <col min="1016" max="1018" width="14.28515625" customWidth="1"/>
    <col min="1019" max="1019" width="13.42578125" customWidth="1"/>
    <col min="1020" max="1022" width="19.28515625" customWidth="1"/>
    <col min="1023" max="1023" width="26.42578125" customWidth="1"/>
    <col min="1024" max="1024" width="8.5703125" customWidth="1"/>
    <col min="1025" max="1026" width="19.42578125" customWidth="1"/>
    <col min="1027" max="1027" width="17.28515625" customWidth="1"/>
    <col min="1028" max="1028" width="16.5703125" customWidth="1"/>
    <col min="1029" max="1029" width="12.42578125" bestFit="1" customWidth="1"/>
    <col min="1030" max="1036" width="12.42578125" customWidth="1"/>
    <col min="1037" max="1037" width="20.42578125" bestFit="1" customWidth="1"/>
    <col min="1038" max="1038" width="21.7109375" customWidth="1"/>
    <col min="1039" max="1039" width="17" bestFit="1" customWidth="1"/>
    <col min="1040" max="1040" width="19.42578125" bestFit="1" customWidth="1"/>
    <col min="1041" max="1041" width="10.7109375" bestFit="1" customWidth="1"/>
    <col min="1042" max="1042" width="17" customWidth="1"/>
    <col min="1043" max="1044" width="12.42578125" customWidth="1"/>
    <col min="1045" max="1046" width="18.28515625" customWidth="1"/>
    <col min="1047" max="1047" width="9.28515625" bestFit="1" customWidth="1"/>
    <col min="1048" max="1048" width="15.42578125" customWidth="1"/>
    <col min="1049" max="1049" width="8.42578125" bestFit="1" customWidth="1"/>
    <col min="1050" max="1050" width="11.5703125" customWidth="1"/>
    <col min="1051" max="1051" width="8.42578125" customWidth="1"/>
    <col min="1052" max="1052" width="10.42578125" customWidth="1"/>
    <col min="1053" max="1053" width="11.28515625" customWidth="1"/>
    <col min="1054" max="1056" width="10.5703125" customWidth="1"/>
    <col min="1057" max="1057" width="11.28515625" customWidth="1"/>
    <col min="1058" max="1060" width="10.5703125" customWidth="1"/>
    <col min="1193" max="1193" width="12.5703125" bestFit="1" customWidth="1"/>
    <col min="1194" max="1194" width="12.5703125" customWidth="1"/>
    <col min="1195" max="1195" width="13.5703125" bestFit="1" customWidth="1"/>
    <col min="1196" max="1196" width="15" bestFit="1" customWidth="1"/>
    <col min="1197" max="1197" width="15" customWidth="1"/>
    <col min="1198" max="1202" width="18.5703125" customWidth="1"/>
    <col min="1203" max="1204" width="31.42578125" customWidth="1"/>
    <col min="1205" max="1205" width="13.5703125" bestFit="1" customWidth="1"/>
    <col min="1206" max="1206" width="13.5703125" customWidth="1"/>
    <col min="1207" max="1207" width="20.5703125" customWidth="1"/>
    <col min="1208" max="1208" width="16" customWidth="1"/>
    <col min="1209" max="1209" width="12.28515625" bestFit="1" customWidth="1"/>
    <col min="1210" max="1210" width="17.5703125" customWidth="1"/>
    <col min="1211" max="1211" width="16" customWidth="1"/>
    <col min="1212" max="1212" width="21" customWidth="1"/>
    <col min="1213" max="1213" width="17.5703125" customWidth="1"/>
    <col min="1214" max="1214" width="27" customWidth="1"/>
    <col min="1215" max="1217" width="23.28515625" customWidth="1"/>
    <col min="1218" max="1218" width="15.7109375" customWidth="1"/>
    <col min="1219" max="1219" width="16.42578125" customWidth="1"/>
    <col min="1220" max="1222" width="19.28515625" customWidth="1"/>
    <col min="1223" max="1224" width="5.28515625" bestFit="1" customWidth="1"/>
    <col min="1225" max="1225" width="12.7109375" customWidth="1"/>
    <col min="1226" max="1227" width="19.28515625" customWidth="1"/>
    <col min="1228" max="1230" width="13.5703125" customWidth="1"/>
    <col min="1231" max="1231" width="15.5703125" customWidth="1"/>
    <col min="1232" max="1233" width="14.7109375" customWidth="1"/>
    <col min="1234" max="1235" width="14.28515625" customWidth="1"/>
    <col min="1236" max="1236" width="13.5703125" bestFit="1" customWidth="1"/>
    <col min="1237" max="1237" width="19.5703125" customWidth="1"/>
    <col min="1238" max="1238" width="22" customWidth="1"/>
    <col min="1239" max="1239" width="14.5703125" customWidth="1"/>
    <col min="1240" max="1240" width="15" customWidth="1"/>
    <col min="1241" max="1241" width="12.5703125" bestFit="1" customWidth="1"/>
    <col min="1242" max="1242" width="14.42578125" customWidth="1"/>
    <col min="1243" max="1243" width="19.42578125" bestFit="1" customWidth="1"/>
    <col min="1244" max="1244" width="29.5703125" customWidth="1"/>
    <col min="1245" max="1245" width="8.7109375" bestFit="1" customWidth="1"/>
    <col min="1246" max="1247" width="8.7109375" customWidth="1"/>
    <col min="1248" max="1249" width="16" customWidth="1"/>
    <col min="1250" max="1250" width="17.42578125" customWidth="1"/>
    <col min="1251" max="1251" width="14.5703125" customWidth="1"/>
    <col min="1252" max="1254" width="12.5703125" customWidth="1"/>
    <col min="1255" max="1255" width="14.42578125" customWidth="1"/>
    <col min="1256" max="1256" width="12.5703125" customWidth="1"/>
    <col min="1257" max="1259" width="14.5703125" customWidth="1"/>
    <col min="1260" max="1260" width="12.5703125" customWidth="1"/>
    <col min="1261" max="1261" width="11.42578125" customWidth="1"/>
    <col min="1262" max="1270" width="15.28515625" customWidth="1"/>
    <col min="1271" max="1271" width="13" customWidth="1"/>
    <col min="1272" max="1274" width="14.28515625" customWidth="1"/>
    <col min="1275" max="1275" width="13.42578125" customWidth="1"/>
    <col min="1276" max="1278" width="19.28515625" customWidth="1"/>
    <col min="1279" max="1279" width="26.42578125" customWidth="1"/>
    <col min="1280" max="1280" width="8.5703125" customWidth="1"/>
    <col min="1281" max="1282" width="19.42578125" customWidth="1"/>
    <col min="1283" max="1283" width="17.28515625" customWidth="1"/>
    <col min="1284" max="1284" width="16.5703125" customWidth="1"/>
    <col min="1285" max="1285" width="12.42578125" bestFit="1" customWidth="1"/>
    <col min="1286" max="1292" width="12.42578125" customWidth="1"/>
    <col min="1293" max="1293" width="20.42578125" bestFit="1" customWidth="1"/>
    <col min="1294" max="1294" width="21.7109375" customWidth="1"/>
    <col min="1295" max="1295" width="17" bestFit="1" customWidth="1"/>
    <col min="1296" max="1296" width="19.42578125" bestFit="1" customWidth="1"/>
    <col min="1297" max="1297" width="10.7109375" bestFit="1" customWidth="1"/>
    <col min="1298" max="1298" width="17" customWidth="1"/>
    <col min="1299" max="1300" width="12.42578125" customWidth="1"/>
    <col min="1301" max="1302" width="18.28515625" customWidth="1"/>
    <col min="1303" max="1303" width="9.28515625" bestFit="1" customWidth="1"/>
    <col min="1304" max="1304" width="15.42578125" customWidth="1"/>
    <col min="1305" max="1305" width="8.42578125" bestFit="1" customWidth="1"/>
    <col min="1306" max="1306" width="11.5703125" customWidth="1"/>
    <col min="1307" max="1307" width="8.42578125" customWidth="1"/>
    <col min="1308" max="1308" width="10.42578125" customWidth="1"/>
    <col min="1309" max="1309" width="11.28515625" customWidth="1"/>
    <col min="1310" max="1312" width="10.5703125" customWidth="1"/>
    <col min="1313" max="1313" width="11.28515625" customWidth="1"/>
    <col min="1314" max="1316" width="10.5703125" customWidth="1"/>
    <col min="1449" max="1449" width="12.5703125" bestFit="1" customWidth="1"/>
    <col min="1450" max="1450" width="12.5703125" customWidth="1"/>
    <col min="1451" max="1451" width="13.5703125" bestFit="1" customWidth="1"/>
    <col min="1452" max="1452" width="15" bestFit="1" customWidth="1"/>
    <col min="1453" max="1453" width="15" customWidth="1"/>
    <col min="1454" max="1458" width="18.5703125" customWidth="1"/>
    <col min="1459" max="1460" width="31.42578125" customWidth="1"/>
    <col min="1461" max="1461" width="13.5703125" bestFit="1" customWidth="1"/>
    <col min="1462" max="1462" width="13.5703125" customWidth="1"/>
    <col min="1463" max="1463" width="20.5703125" customWidth="1"/>
    <col min="1464" max="1464" width="16" customWidth="1"/>
    <col min="1465" max="1465" width="12.28515625" bestFit="1" customWidth="1"/>
    <col min="1466" max="1466" width="17.5703125" customWidth="1"/>
    <col min="1467" max="1467" width="16" customWidth="1"/>
    <col min="1468" max="1468" width="21" customWidth="1"/>
    <col min="1469" max="1469" width="17.5703125" customWidth="1"/>
    <col min="1470" max="1470" width="27" customWidth="1"/>
    <col min="1471" max="1473" width="23.28515625" customWidth="1"/>
    <col min="1474" max="1474" width="15.7109375" customWidth="1"/>
    <col min="1475" max="1475" width="16.42578125" customWidth="1"/>
    <col min="1476" max="1478" width="19.28515625" customWidth="1"/>
    <col min="1479" max="1480" width="5.28515625" bestFit="1" customWidth="1"/>
    <col min="1481" max="1481" width="12.7109375" customWidth="1"/>
    <col min="1482" max="1483" width="19.28515625" customWidth="1"/>
    <col min="1484" max="1486" width="13.5703125" customWidth="1"/>
    <col min="1487" max="1487" width="15.5703125" customWidth="1"/>
    <col min="1488" max="1489" width="14.7109375" customWidth="1"/>
    <col min="1490" max="1491" width="14.28515625" customWidth="1"/>
    <col min="1492" max="1492" width="13.5703125" bestFit="1" customWidth="1"/>
    <col min="1493" max="1493" width="19.5703125" customWidth="1"/>
    <col min="1494" max="1494" width="22" customWidth="1"/>
    <col min="1495" max="1495" width="14.5703125" customWidth="1"/>
    <col min="1496" max="1496" width="15" customWidth="1"/>
    <col min="1497" max="1497" width="12.5703125" bestFit="1" customWidth="1"/>
    <col min="1498" max="1498" width="14.42578125" customWidth="1"/>
    <col min="1499" max="1499" width="19.42578125" bestFit="1" customWidth="1"/>
    <col min="1500" max="1500" width="29.5703125" customWidth="1"/>
    <col min="1501" max="1501" width="8.7109375" bestFit="1" customWidth="1"/>
    <col min="1502" max="1503" width="8.7109375" customWidth="1"/>
    <col min="1504" max="1505" width="16" customWidth="1"/>
    <col min="1506" max="1506" width="17.42578125" customWidth="1"/>
    <col min="1507" max="1507" width="14.5703125" customWidth="1"/>
    <col min="1508" max="1510" width="12.5703125" customWidth="1"/>
    <col min="1511" max="1511" width="14.42578125" customWidth="1"/>
    <col min="1512" max="1512" width="12.5703125" customWidth="1"/>
    <col min="1513" max="1515" width="14.5703125" customWidth="1"/>
    <col min="1516" max="1516" width="12.5703125" customWidth="1"/>
    <col min="1517" max="1517" width="11.42578125" customWidth="1"/>
    <col min="1518" max="1526" width="15.28515625" customWidth="1"/>
    <col min="1527" max="1527" width="13" customWidth="1"/>
    <col min="1528" max="1530" width="14.28515625" customWidth="1"/>
    <col min="1531" max="1531" width="13.42578125" customWidth="1"/>
    <col min="1532" max="1534" width="19.28515625" customWidth="1"/>
    <col min="1535" max="1535" width="26.42578125" customWidth="1"/>
    <col min="1536" max="1536" width="8.5703125" customWidth="1"/>
    <col min="1537" max="1538" width="19.42578125" customWidth="1"/>
    <col min="1539" max="1539" width="17.28515625" customWidth="1"/>
    <col min="1540" max="1540" width="16.5703125" customWidth="1"/>
    <col min="1541" max="1541" width="12.42578125" bestFit="1" customWidth="1"/>
    <col min="1542" max="1548" width="12.42578125" customWidth="1"/>
    <col min="1549" max="1549" width="20.42578125" bestFit="1" customWidth="1"/>
    <col min="1550" max="1550" width="21.7109375" customWidth="1"/>
    <col min="1551" max="1551" width="17" bestFit="1" customWidth="1"/>
    <col min="1552" max="1552" width="19.42578125" bestFit="1" customWidth="1"/>
    <col min="1553" max="1553" width="10.7109375" bestFit="1" customWidth="1"/>
    <col min="1554" max="1554" width="17" customWidth="1"/>
    <col min="1555" max="1556" width="12.42578125" customWidth="1"/>
    <col min="1557" max="1558" width="18.28515625" customWidth="1"/>
    <col min="1559" max="1559" width="9.28515625" bestFit="1" customWidth="1"/>
    <col min="1560" max="1560" width="15.42578125" customWidth="1"/>
    <col min="1561" max="1561" width="8.42578125" bestFit="1" customWidth="1"/>
    <col min="1562" max="1562" width="11.5703125" customWidth="1"/>
    <col min="1563" max="1563" width="8.42578125" customWidth="1"/>
    <col min="1564" max="1564" width="10.42578125" customWidth="1"/>
    <col min="1565" max="1565" width="11.28515625" customWidth="1"/>
    <col min="1566" max="1568" width="10.5703125" customWidth="1"/>
    <col min="1569" max="1569" width="11.28515625" customWidth="1"/>
    <col min="1570" max="1572" width="10.5703125" customWidth="1"/>
    <col min="1705" max="1705" width="12.5703125" bestFit="1" customWidth="1"/>
    <col min="1706" max="1706" width="12.5703125" customWidth="1"/>
    <col min="1707" max="1707" width="13.5703125" bestFit="1" customWidth="1"/>
    <col min="1708" max="1708" width="15" bestFit="1" customWidth="1"/>
    <col min="1709" max="1709" width="15" customWidth="1"/>
    <col min="1710" max="1714" width="18.5703125" customWidth="1"/>
    <col min="1715" max="1716" width="31.42578125" customWidth="1"/>
    <col min="1717" max="1717" width="13.5703125" bestFit="1" customWidth="1"/>
    <col min="1718" max="1718" width="13.5703125" customWidth="1"/>
    <col min="1719" max="1719" width="20.5703125" customWidth="1"/>
    <col min="1720" max="1720" width="16" customWidth="1"/>
    <col min="1721" max="1721" width="12.28515625" bestFit="1" customWidth="1"/>
    <col min="1722" max="1722" width="17.5703125" customWidth="1"/>
    <col min="1723" max="1723" width="16" customWidth="1"/>
    <col min="1724" max="1724" width="21" customWidth="1"/>
    <col min="1725" max="1725" width="17.5703125" customWidth="1"/>
    <col min="1726" max="1726" width="27" customWidth="1"/>
    <col min="1727" max="1729" width="23.28515625" customWidth="1"/>
    <col min="1730" max="1730" width="15.7109375" customWidth="1"/>
    <col min="1731" max="1731" width="16.42578125" customWidth="1"/>
    <col min="1732" max="1734" width="19.28515625" customWidth="1"/>
    <col min="1735" max="1736" width="5.28515625" bestFit="1" customWidth="1"/>
    <col min="1737" max="1737" width="12.7109375" customWidth="1"/>
    <col min="1738" max="1739" width="19.28515625" customWidth="1"/>
    <col min="1740" max="1742" width="13.5703125" customWidth="1"/>
    <col min="1743" max="1743" width="15.5703125" customWidth="1"/>
    <col min="1744" max="1745" width="14.7109375" customWidth="1"/>
    <col min="1746" max="1747" width="14.28515625" customWidth="1"/>
    <col min="1748" max="1748" width="13.5703125" bestFit="1" customWidth="1"/>
    <col min="1749" max="1749" width="19.5703125" customWidth="1"/>
    <col min="1750" max="1750" width="22" customWidth="1"/>
    <col min="1751" max="1751" width="14.5703125" customWidth="1"/>
    <col min="1752" max="1752" width="15" customWidth="1"/>
    <col min="1753" max="1753" width="12.5703125" bestFit="1" customWidth="1"/>
    <col min="1754" max="1754" width="14.42578125" customWidth="1"/>
    <col min="1755" max="1755" width="19.42578125" bestFit="1" customWidth="1"/>
    <col min="1756" max="1756" width="29.5703125" customWidth="1"/>
    <col min="1757" max="1757" width="8.7109375" bestFit="1" customWidth="1"/>
    <col min="1758" max="1759" width="8.7109375" customWidth="1"/>
    <col min="1760" max="1761" width="16" customWidth="1"/>
    <col min="1762" max="1762" width="17.42578125" customWidth="1"/>
    <col min="1763" max="1763" width="14.5703125" customWidth="1"/>
    <col min="1764" max="1766" width="12.5703125" customWidth="1"/>
    <col min="1767" max="1767" width="14.42578125" customWidth="1"/>
    <col min="1768" max="1768" width="12.5703125" customWidth="1"/>
    <col min="1769" max="1771" width="14.5703125" customWidth="1"/>
    <col min="1772" max="1772" width="12.5703125" customWidth="1"/>
    <col min="1773" max="1773" width="11.42578125" customWidth="1"/>
    <col min="1774" max="1782" width="15.28515625" customWidth="1"/>
    <col min="1783" max="1783" width="13" customWidth="1"/>
    <col min="1784" max="1786" width="14.28515625" customWidth="1"/>
    <col min="1787" max="1787" width="13.42578125" customWidth="1"/>
    <col min="1788" max="1790" width="19.28515625" customWidth="1"/>
    <col min="1791" max="1791" width="26.42578125" customWidth="1"/>
    <col min="1792" max="1792" width="8.5703125" customWidth="1"/>
    <col min="1793" max="1794" width="19.42578125" customWidth="1"/>
    <col min="1795" max="1795" width="17.28515625" customWidth="1"/>
    <col min="1796" max="1796" width="16.5703125" customWidth="1"/>
    <col min="1797" max="1797" width="12.42578125" bestFit="1" customWidth="1"/>
    <col min="1798" max="1804" width="12.42578125" customWidth="1"/>
    <col min="1805" max="1805" width="20.42578125" bestFit="1" customWidth="1"/>
    <col min="1806" max="1806" width="21.7109375" customWidth="1"/>
    <col min="1807" max="1807" width="17" bestFit="1" customWidth="1"/>
    <col min="1808" max="1808" width="19.42578125" bestFit="1" customWidth="1"/>
    <col min="1809" max="1809" width="10.7109375" bestFit="1" customWidth="1"/>
    <col min="1810" max="1810" width="17" customWidth="1"/>
    <col min="1811" max="1812" width="12.42578125" customWidth="1"/>
    <col min="1813" max="1814" width="18.28515625" customWidth="1"/>
    <col min="1815" max="1815" width="9.28515625" bestFit="1" customWidth="1"/>
    <col min="1816" max="1816" width="15.42578125" customWidth="1"/>
    <col min="1817" max="1817" width="8.42578125" bestFit="1" customWidth="1"/>
    <col min="1818" max="1818" width="11.5703125" customWidth="1"/>
    <col min="1819" max="1819" width="8.42578125" customWidth="1"/>
    <col min="1820" max="1820" width="10.42578125" customWidth="1"/>
    <col min="1821" max="1821" width="11.28515625" customWidth="1"/>
    <col min="1822" max="1824" width="10.5703125" customWidth="1"/>
    <col min="1825" max="1825" width="11.28515625" customWidth="1"/>
    <col min="1826" max="1828" width="10.5703125" customWidth="1"/>
    <col min="1961" max="1961" width="12.5703125" bestFit="1" customWidth="1"/>
    <col min="1962" max="1962" width="12.5703125" customWidth="1"/>
    <col min="1963" max="1963" width="13.5703125" bestFit="1" customWidth="1"/>
    <col min="1964" max="1964" width="15" bestFit="1" customWidth="1"/>
    <col min="1965" max="1965" width="15" customWidth="1"/>
    <col min="1966" max="1970" width="18.5703125" customWidth="1"/>
    <col min="1971" max="1972" width="31.42578125" customWidth="1"/>
    <col min="1973" max="1973" width="13.5703125" bestFit="1" customWidth="1"/>
    <col min="1974" max="1974" width="13.5703125" customWidth="1"/>
    <col min="1975" max="1975" width="20.5703125" customWidth="1"/>
    <col min="1976" max="1976" width="16" customWidth="1"/>
    <col min="1977" max="1977" width="12.28515625" bestFit="1" customWidth="1"/>
    <col min="1978" max="1978" width="17.5703125" customWidth="1"/>
    <col min="1979" max="1979" width="16" customWidth="1"/>
    <col min="1980" max="1980" width="21" customWidth="1"/>
    <col min="1981" max="1981" width="17.5703125" customWidth="1"/>
    <col min="1982" max="1982" width="27" customWidth="1"/>
    <col min="1983" max="1985" width="23.28515625" customWidth="1"/>
    <col min="1986" max="1986" width="15.7109375" customWidth="1"/>
    <col min="1987" max="1987" width="16.42578125" customWidth="1"/>
    <col min="1988" max="1990" width="19.28515625" customWidth="1"/>
    <col min="1991" max="1992" width="5.28515625" bestFit="1" customWidth="1"/>
    <col min="1993" max="1993" width="12.7109375" customWidth="1"/>
    <col min="1994" max="1995" width="19.28515625" customWidth="1"/>
    <col min="1996" max="1998" width="13.5703125" customWidth="1"/>
    <col min="1999" max="1999" width="15.5703125" customWidth="1"/>
    <col min="2000" max="2001" width="14.7109375" customWidth="1"/>
    <col min="2002" max="2003" width="14.28515625" customWidth="1"/>
    <col min="2004" max="2004" width="13.5703125" bestFit="1" customWidth="1"/>
    <col min="2005" max="2005" width="19.5703125" customWidth="1"/>
    <col min="2006" max="2006" width="22" customWidth="1"/>
    <col min="2007" max="2007" width="14.5703125" customWidth="1"/>
    <col min="2008" max="2008" width="15" customWidth="1"/>
    <col min="2009" max="2009" width="12.5703125" bestFit="1" customWidth="1"/>
    <col min="2010" max="2010" width="14.42578125" customWidth="1"/>
    <col min="2011" max="2011" width="19.42578125" bestFit="1" customWidth="1"/>
    <col min="2012" max="2012" width="29.5703125" customWidth="1"/>
    <col min="2013" max="2013" width="8.7109375" bestFit="1" customWidth="1"/>
    <col min="2014" max="2015" width="8.7109375" customWidth="1"/>
    <col min="2016" max="2017" width="16" customWidth="1"/>
    <col min="2018" max="2018" width="17.42578125" customWidth="1"/>
    <col min="2019" max="2019" width="14.5703125" customWidth="1"/>
    <col min="2020" max="2022" width="12.5703125" customWidth="1"/>
    <col min="2023" max="2023" width="14.42578125" customWidth="1"/>
    <col min="2024" max="2024" width="12.5703125" customWidth="1"/>
    <col min="2025" max="2027" width="14.5703125" customWidth="1"/>
    <col min="2028" max="2028" width="12.5703125" customWidth="1"/>
    <col min="2029" max="2029" width="11.42578125" customWidth="1"/>
    <col min="2030" max="2038" width="15.28515625" customWidth="1"/>
    <col min="2039" max="2039" width="13" customWidth="1"/>
    <col min="2040" max="2042" width="14.28515625" customWidth="1"/>
    <col min="2043" max="2043" width="13.42578125" customWidth="1"/>
    <col min="2044" max="2046" width="19.28515625" customWidth="1"/>
    <col min="2047" max="2047" width="26.42578125" customWidth="1"/>
    <col min="2048" max="2048" width="8.5703125" customWidth="1"/>
    <col min="2049" max="2050" width="19.42578125" customWidth="1"/>
    <col min="2051" max="2051" width="17.28515625" customWidth="1"/>
    <col min="2052" max="2052" width="16.5703125" customWidth="1"/>
    <col min="2053" max="2053" width="12.42578125" bestFit="1" customWidth="1"/>
    <col min="2054" max="2060" width="12.42578125" customWidth="1"/>
    <col min="2061" max="2061" width="20.42578125" bestFit="1" customWidth="1"/>
    <col min="2062" max="2062" width="21.7109375" customWidth="1"/>
    <col min="2063" max="2063" width="17" bestFit="1" customWidth="1"/>
    <col min="2064" max="2064" width="19.42578125" bestFit="1" customWidth="1"/>
    <col min="2065" max="2065" width="10.7109375" bestFit="1" customWidth="1"/>
    <col min="2066" max="2066" width="17" customWidth="1"/>
    <col min="2067" max="2068" width="12.42578125" customWidth="1"/>
    <col min="2069" max="2070" width="18.28515625" customWidth="1"/>
    <col min="2071" max="2071" width="9.28515625" bestFit="1" customWidth="1"/>
    <col min="2072" max="2072" width="15.42578125" customWidth="1"/>
    <col min="2073" max="2073" width="8.42578125" bestFit="1" customWidth="1"/>
    <col min="2074" max="2074" width="11.5703125" customWidth="1"/>
    <col min="2075" max="2075" width="8.42578125" customWidth="1"/>
    <col min="2076" max="2076" width="10.42578125" customWidth="1"/>
    <col min="2077" max="2077" width="11.28515625" customWidth="1"/>
    <col min="2078" max="2080" width="10.5703125" customWidth="1"/>
    <col min="2081" max="2081" width="11.28515625" customWidth="1"/>
    <col min="2082" max="2084" width="10.5703125" customWidth="1"/>
    <col min="2217" max="2217" width="12.5703125" bestFit="1" customWidth="1"/>
    <col min="2218" max="2218" width="12.5703125" customWidth="1"/>
    <col min="2219" max="2219" width="13.5703125" bestFit="1" customWidth="1"/>
    <col min="2220" max="2220" width="15" bestFit="1" customWidth="1"/>
    <col min="2221" max="2221" width="15" customWidth="1"/>
    <col min="2222" max="2226" width="18.5703125" customWidth="1"/>
    <col min="2227" max="2228" width="31.42578125" customWidth="1"/>
    <col min="2229" max="2229" width="13.5703125" bestFit="1" customWidth="1"/>
    <col min="2230" max="2230" width="13.5703125" customWidth="1"/>
    <col min="2231" max="2231" width="20.5703125" customWidth="1"/>
    <col min="2232" max="2232" width="16" customWidth="1"/>
    <col min="2233" max="2233" width="12.28515625" bestFit="1" customWidth="1"/>
    <col min="2234" max="2234" width="17.5703125" customWidth="1"/>
    <col min="2235" max="2235" width="16" customWidth="1"/>
    <col min="2236" max="2236" width="21" customWidth="1"/>
    <col min="2237" max="2237" width="17.5703125" customWidth="1"/>
    <col min="2238" max="2238" width="27" customWidth="1"/>
    <col min="2239" max="2241" width="23.28515625" customWidth="1"/>
    <col min="2242" max="2242" width="15.7109375" customWidth="1"/>
    <col min="2243" max="2243" width="16.42578125" customWidth="1"/>
    <col min="2244" max="2246" width="19.28515625" customWidth="1"/>
    <col min="2247" max="2248" width="5.28515625" bestFit="1" customWidth="1"/>
    <col min="2249" max="2249" width="12.7109375" customWidth="1"/>
    <col min="2250" max="2251" width="19.28515625" customWidth="1"/>
    <col min="2252" max="2254" width="13.5703125" customWidth="1"/>
    <col min="2255" max="2255" width="15.5703125" customWidth="1"/>
    <col min="2256" max="2257" width="14.7109375" customWidth="1"/>
    <col min="2258" max="2259" width="14.28515625" customWidth="1"/>
    <col min="2260" max="2260" width="13.5703125" bestFit="1" customWidth="1"/>
    <col min="2261" max="2261" width="19.5703125" customWidth="1"/>
    <col min="2262" max="2262" width="22" customWidth="1"/>
    <col min="2263" max="2263" width="14.5703125" customWidth="1"/>
    <col min="2264" max="2264" width="15" customWidth="1"/>
    <col min="2265" max="2265" width="12.5703125" bestFit="1" customWidth="1"/>
    <col min="2266" max="2266" width="14.42578125" customWidth="1"/>
    <col min="2267" max="2267" width="19.42578125" bestFit="1" customWidth="1"/>
    <col min="2268" max="2268" width="29.5703125" customWidth="1"/>
    <col min="2269" max="2269" width="8.7109375" bestFit="1" customWidth="1"/>
    <col min="2270" max="2271" width="8.7109375" customWidth="1"/>
    <col min="2272" max="2273" width="16" customWidth="1"/>
    <col min="2274" max="2274" width="17.42578125" customWidth="1"/>
    <col min="2275" max="2275" width="14.5703125" customWidth="1"/>
    <col min="2276" max="2278" width="12.5703125" customWidth="1"/>
    <col min="2279" max="2279" width="14.42578125" customWidth="1"/>
    <col min="2280" max="2280" width="12.5703125" customWidth="1"/>
    <col min="2281" max="2283" width="14.5703125" customWidth="1"/>
    <col min="2284" max="2284" width="12.5703125" customWidth="1"/>
    <col min="2285" max="2285" width="11.42578125" customWidth="1"/>
    <col min="2286" max="2294" width="15.28515625" customWidth="1"/>
    <col min="2295" max="2295" width="13" customWidth="1"/>
    <col min="2296" max="2298" width="14.28515625" customWidth="1"/>
    <col min="2299" max="2299" width="13.42578125" customWidth="1"/>
    <col min="2300" max="2302" width="19.28515625" customWidth="1"/>
    <col min="2303" max="2303" width="26.42578125" customWidth="1"/>
    <col min="2304" max="2304" width="8.5703125" customWidth="1"/>
    <col min="2305" max="2306" width="19.42578125" customWidth="1"/>
    <col min="2307" max="2307" width="17.28515625" customWidth="1"/>
    <col min="2308" max="2308" width="16.5703125" customWidth="1"/>
    <col min="2309" max="2309" width="12.42578125" bestFit="1" customWidth="1"/>
    <col min="2310" max="2316" width="12.42578125" customWidth="1"/>
    <col min="2317" max="2317" width="20.42578125" bestFit="1" customWidth="1"/>
    <col min="2318" max="2318" width="21.7109375" customWidth="1"/>
    <col min="2319" max="2319" width="17" bestFit="1" customWidth="1"/>
    <col min="2320" max="2320" width="19.42578125" bestFit="1" customWidth="1"/>
    <col min="2321" max="2321" width="10.7109375" bestFit="1" customWidth="1"/>
    <col min="2322" max="2322" width="17" customWidth="1"/>
    <col min="2323" max="2324" width="12.42578125" customWidth="1"/>
    <col min="2325" max="2326" width="18.28515625" customWidth="1"/>
    <col min="2327" max="2327" width="9.28515625" bestFit="1" customWidth="1"/>
    <col min="2328" max="2328" width="15.42578125" customWidth="1"/>
    <col min="2329" max="2329" width="8.42578125" bestFit="1" customWidth="1"/>
    <col min="2330" max="2330" width="11.5703125" customWidth="1"/>
    <col min="2331" max="2331" width="8.42578125" customWidth="1"/>
    <col min="2332" max="2332" width="10.42578125" customWidth="1"/>
    <col min="2333" max="2333" width="11.28515625" customWidth="1"/>
    <col min="2334" max="2336" width="10.5703125" customWidth="1"/>
    <col min="2337" max="2337" width="11.28515625" customWidth="1"/>
    <col min="2338" max="2340" width="10.5703125" customWidth="1"/>
    <col min="2473" max="2473" width="12.5703125" bestFit="1" customWidth="1"/>
    <col min="2474" max="2474" width="12.5703125" customWidth="1"/>
    <col min="2475" max="2475" width="13.5703125" bestFit="1" customWidth="1"/>
    <col min="2476" max="2476" width="15" bestFit="1" customWidth="1"/>
    <col min="2477" max="2477" width="15" customWidth="1"/>
    <col min="2478" max="2482" width="18.5703125" customWidth="1"/>
    <col min="2483" max="2484" width="31.42578125" customWidth="1"/>
    <col min="2485" max="2485" width="13.5703125" bestFit="1" customWidth="1"/>
    <col min="2486" max="2486" width="13.5703125" customWidth="1"/>
    <col min="2487" max="2487" width="20.5703125" customWidth="1"/>
    <col min="2488" max="2488" width="16" customWidth="1"/>
    <col min="2489" max="2489" width="12.28515625" bestFit="1" customWidth="1"/>
    <col min="2490" max="2490" width="17.5703125" customWidth="1"/>
    <col min="2491" max="2491" width="16" customWidth="1"/>
    <col min="2492" max="2492" width="21" customWidth="1"/>
    <col min="2493" max="2493" width="17.5703125" customWidth="1"/>
    <col min="2494" max="2494" width="27" customWidth="1"/>
    <col min="2495" max="2497" width="23.28515625" customWidth="1"/>
    <col min="2498" max="2498" width="15.7109375" customWidth="1"/>
    <col min="2499" max="2499" width="16.42578125" customWidth="1"/>
    <col min="2500" max="2502" width="19.28515625" customWidth="1"/>
    <col min="2503" max="2504" width="5.28515625" bestFit="1" customWidth="1"/>
    <col min="2505" max="2505" width="12.7109375" customWidth="1"/>
    <col min="2506" max="2507" width="19.28515625" customWidth="1"/>
    <col min="2508" max="2510" width="13.5703125" customWidth="1"/>
    <col min="2511" max="2511" width="15.5703125" customWidth="1"/>
    <col min="2512" max="2513" width="14.7109375" customWidth="1"/>
    <col min="2514" max="2515" width="14.28515625" customWidth="1"/>
    <col min="2516" max="2516" width="13.5703125" bestFit="1" customWidth="1"/>
    <col min="2517" max="2517" width="19.5703125" customWidth="1"/>
    <col min="2518" max="2518" width="22" customWidth="1"/>
    <col min="2519" max="2519" width="14.5703125" customWidth="1"/>
    <col min="2520" max="2520" width="15" customWidth="1"/>
    <col min="2521" max="2521" width="12.5703125" bestFit="1" customWidth="1"/>
    <col min="2522" max="2522" width="14.42578125" customWidth="1"/>
    <col min="2523" max="2523" width="19.42578125" bestFit="1" customWidth="1"/>
    <col min="2524" max="2524" width="29.5703125" customWidth="1"/>
    <col min="2525" max="2525" width="8.7109375" bestFit="1" customWidth="1"/>
    <col min="2526" max="2527" width="8.7109375" customWidth="1"/>
    <col min="2528" max="2529" width="16" customWidth="1"/>
    <col min="2530" max="2530" width="17.42578125" customWidth="1"/>
    <col min="2531" max="2531" width="14.5703125" customWidth="1"/>
    <col min="2532" max="2534" width="12.5703125" customWidth="1"/>
    <col min="2535" max="2535" width="14.42578125" customWidth="1"/>
    <col min="2536" max="2536" width="12.5703125" customWidth="1"/>
    <col min="2537" max="2539" width="14.5703125" customWidth="1"/>
    <col min="2540" max="2540" width="12.5703125" customWidth="1"/>
    <col min="2541" max="2541" width="11.42578125" customWidth="1"/>
    <col min="2542" max="2550" width="15.28515625" customWidth="1"/>
    <col min="2551" max="2551" width="13" customWidth="1"/>
    <col min="2552" max="2554" width="14.28515625" customWidth="1"/>
    <col min="2555" max="2555" width="13.42578125" customWidth="1"/>
    <col min="2556" max="2558" width="19.28515625" customWidth="1"/>
    <col min="2559" max="2559" width="26.42578125" customWidth="1"/>
    <col min="2560" max="2560" width="8.5703125" customWidth="1"/>
    <col min="2561" max="2562" width="19.42578125" customWidth="1"/>
    <col min="2563" max="2563" width="17.28515625" customWidth="1"/>
    <col min="2564" max="2564" width="16.5703125" customWidth="1"/>
    <col min="2565" max="2565" width="12.42578125" bestFit="1" customWidth="1"/>
    <col min="2566" max="2572" width="12.42578125" customWidth="1"/>
    <col min="2573" max="2573" width="20.42578125" bestFit="1" customWidth="1"/>
    <col min="2574" max="2574" width="21.7109375" customWidth="1"/>
    <col min="2575" max="2575" width="17" bestFit="1" customWidth="1"/>
    <col min="2576" max="2576" width="19.42578125" bestFit="1" customWidth="1"/>
    <col min="2577" max="2577" width="10.7109375" bestFit="1" customWidth="1"/>
    <col min="2578" max="2578" width="17" customWidth="1"/>
    <col min="2579" max="2580" width="12.42578125" customWidth="1"/>
    <col min="2581" max="2582" width="18.28515625" customWidth="1"/>
    <col min="2583" max="2583" width="9.28515625" bestFit="1" customWidth="1"/>
    <col min="2584" max="2584" width="15.42578125" customWidth="1"/>
    <col min="2585" max="2585" width="8.42578125" bestFit="1" customWidth="1"/>
    <col min="2586" max="2586" width="11.5703125" customWidth="1"/>
    <col min="2587" max="2587" width="8.42578125" customWidth="1"/>
    <col min="2588" max="2588" width="10.42578125" customWidth="1"/>
    <col min="2589" max="2589" width="11.28515625" customWidth="1"/>
    <col min="2590" max="2592" width="10.5703125" customWidth="1"/>
    <col min="2593" max="2593" width="11.28515625" customWidth="1"/>
    <col min="2594" max="2596" width="10.5703125" customWidth="1"/>
    <col min="2729" max="2729" width="12.5703125" bestFit="1" customWidth="1"/>
    <col min="2730" max="2730" width="12.5703125" customWidth="1"/>
    <col min="2731" max="2731" width="13.5703125" bestFit="1" customWidth="1"/>
    <col min="2732" max="2732" width="15" bestFit="1" customWidth="1"/>
    <col min="2733" max="2733" width="15" customWidth="1"/>
    <col min="2734" max="2738" width="18.5703125" customWidth="1"/>
    <col min="2739" max="2740" width="31.42578125" customWidth="1"/>
    <col min="2741" max="2741" width="13.5703125" bestFit="1" customWidth="1"/>
    <col min="2742" max="2742" width="13.5703125" customWidth="1"/>
    <col min="2743" max="2743" width="20.5703125" customWidth="1"/>
    <col min="2744" max="2744" width="16" customWidth="1"/>
    <col min="2745" max="2745" width="12.28515625" bestFit="1" customWidth="1"/>
    <col min="2746" max="2746" width="17.5703125" customWidth="1"/>
    <col min="2747" max="2747" width="16" customWidth="1"/>
    <col min="2748" max="2748" width="21" customWidth="1"/>
    <col min="2749" max="2749" width="17.5703125" customWidth="1"/>
    <col min="2750" max="2750" width="27" customWidth="1"/>
    <col min="2751" max="2753" width="23.28515625" customWidth="1"/>
    <col min="2754" max="2754" width="15.7109375" customWidth="1"/>
    <col min="2755" max="2755" width="16.42578125" customWidth="1"/>
    <col min="2756" max="2758" width="19.28515625" customWidth="1"/>
    <col min="2759" max="2760" width="5.28515625" bestFit="1" customWidth="1"/>
    <col min="2761" max="2761" width="12.7109375" customWidth="1"/>
    <col min="2762" max="2763" width="19.28515625" customWidth="1"/>
    <col min="2764" max="2766" width="13.5703125" customWidth="1"/>
    <col min="2767" max="2767" width="15.5703125" customWidth="1"/>
    <col min="2768" max="2769" width="14.7109375" customWidth="1"/>
    <col min="2770" max="2771" width="14.28515625" customWidth="1"/>
    <col min="2772" max="2772" width="13.5703125" bestFit="1" customWidth="1"/>
    <col min="2773" max="2773" width="19.5703125" customWidth="1"/>
    <col min="2774" max="2774" width="22" customWidth="1"/>
    <col min="2775" max="2775" width="14.5703125" customWidth="1"/>
    <col min="2776" max="2776" width="15" customWidth="1"/>
    <col min="2777" max="2777" width="12.5703125" bestFit="1" customWidth="1"/>
    <col min="2778" max="2778" width="14.42578125" customWidth="1"/>
    <col min="2779" max="2779" width="19.42578125" bestFit="1" customWidth="1"/>
    <col min="2780" max="2780" width="29.5703125" customWidth="1"/>
    <col min="2781" max="2781" width="8.7109375" bestFit="1" customWidth="1"/>
    <col min="2782" max="2783" width="8.7109375" customWidth="1"/>
    <col min="2784" max="2785" width="16" customWidth="1"/>
    <col min="2786" max="2786" width="17.42578125" customWidth="1"/>
    <col min="2787" max="2787" width="14.5703125" customWidth="1"/>
    <col min="2788" max="2790" width="12.5703125" customWidth="1"/>
    <col min="2791" max="2791" width="14.42578125" customWidth="1"/>
    <col min="2792" max="2792" width="12.5703125" customWidth="1"/>
    <col min="2793" max="2795" width="14.5703125" customWidth="1"/>
    <col min="2796" max="2796" width="12.5703125" customWidth="1"/>
    <col min="2797" max="2797" width="11.42578125" customWidth="1"/>
    <col min="2798" max="2806" width="15.28515625" customWidth="1"/>
    <col min="2807" max="2807" width="13" customWidth="1"/>
    <col min="2808" max="2810" width="14.28515625" customWidth="1"/>
    <col min="2811" max="2811" width="13.42578125" customWidth="1"/>
    <col min="2812" max="2814" width="19.28515625" customWidth="1"/>
    <col min="2815" max="2815" width="26.42578125" customWidth="1"/>
    <col min="2816" max="2816" width="8.5703125" customWidth="1"/>
    <col min="2817" max="2818" width="19.42578125" customWidth="1"/>
    <col min="2819" max="2819" width="17.28515625" customWidth="1"/>
    <col min="2820" max="2820" width="16.5703125" customWidth="1"/>
    <col min="2821" max="2821" width="12.42578125" bestFit="1" customWidth="1"/>
    <col min="2822" max="2828" width="12.42578125" customWidth="1"/>
    <col min="2829" max="2829" width="20.42578125" bestFit="1" customWidth="1"/>
    <col min="2830" max="2830" width="21.7109375" customWidth="1"/>
    <col min="2831" max="2831" width="17" bestFit="1" customWidth="1"/>
    <col min="2832" max="2832" width="19.42578125" bestFit="1" customWidth="1"/>
    <col min="2833" max="2833" width="10.7109375" bestFit="1" customWidth="1"/>
    <col min="2834" max="2834" width="17" customWidth="1"/>
    <col min="2835" max="2836" width="12.42578125" customWidth="1"/>
    <col min="2837" max="2838" width="18.28515625" customWidth="1"/>
    <col min="2839" max="2839" width="9.28515625" bestFit="1" customWidth="1"/>
    <col min="2840" max="2840" width="15.42578125" customWidth="1"/>
    <col min="2841" max="2841" width="8.42578125" bestFit="1" customWidth="1"/>
    <col min="2842" max="2842" width="11.5703125" customWidth="1"/>
    <col min="2843" max="2843" width="8.42578125" customWidth="1"/>
    <col min="2844" max="2844" width="10.42578125" customWidth="1"/>
    <col min="2845" max="2845" width="11.28515625" customWidth="1"/>
    <col min="2846" max="2848" width="10.5703125" customWidth="1"/>
    <col min="2849" max="2849" width="11.28515625" customWidth="1"/>
    <col min="2850" max="2852" width="10.5703125" customWidth="1"/>
    <col min="2985" max="2985" width="12.5703125" bestFit="1" customWidth="1"/>
    <col min="2986" max="2986" width="12.5703125" customWidth="1"/>
    <col min="2987" max="2987" width="13.5703125" bestFit="1" customWidth="1"/>
    <col min="2988" max="2988" width="15" bestFit="1" customWidth="1"/>
    <col min="2989" max="2989" width="15" customWidth="1"/>
    <col min="2990" max="2994" width="18.5703125" customWidth="1"/>
    <col min="2995" max="2996" width="31.42578125" customWidth="1"/>
    <col min="2997" max="2997" width="13.5703125" bestFit="1" customWidth="1"/>
    <col min="2998" max="2998" width="13.5703125" customWidth="1"/>
    <col min="2999" max="2999" width="20.5703125" customWidth="1"/>
    <col min="3000" max="3000" width="16" customWidth="1"/>
    <col min="3001" max="3001" width="12.28515625" bestFit="1" customWidth="1"/>
    <col min="3002" max="3002" width="17.5703125" customWidth="1"/>
    <col min="3003" max="3003" width="16" customWidth="1"/>
    <col min="3004" max="3004" width="21" customWidth="1"/>
    <col min="3005" max="3005" width="17.5703125" customWidth="1"/>
    <col min="3006" max="3006" width="27" customWidth="1"/>
    <col min="3007" max="3009" width="23.28515625" customWidth="1"/>
    <col min="3010" max="3010" width="15.7109375" customWidth="1"/>
    <col min="3011" max="3011" width="16.42578125" customWidth="1"/>
    <col min="3012" max="3014" width="19.28515625" customWidth="1"/>
    <col min="3015" max="3016" width="5.28515625" bestFit="1" customWidth="1"/>
    <col min="3017" max="3017" width="12.7109375" customWidth="1"/>
    <col min="3018" max="3019" width="19.28515625" customWidth="1"/>
    <col min="3020" max="3022" width="13.5703125" customWidth="1"/>
    <col min="3023" max="3023" width="15.5703125" customWidth="1"/>
    <col min="3024" max="3025" width="14.7109375" customWidth="1"/>
    <col min="3026" max="3027" width="14.28515625" customWidth="1"/>
    <col min="3028" max="3028" width="13.5703125" bestFit="1" customWidth="1"/>
    <col min="3029" max="3029" width="19.5703125" customWidth="1"/>
    <col min="3030" max="3030" width="22" customWidth="1"/>
    <col min="3031" max="3031" width="14.5703125" customWidth="1"/>
    <col min="3032" max="3032" width="15" customWidth="1"/>
    <col min="3033" max="3033" width="12.5703125" bestFit="1" customWidth="1"/>
    <col min="3034" max="3034" width="14.42578125" customWidth="1"/>
    <col min="3035" max="3035" width="19.42578125" bestFit="1" customWidth="1"/>
    <col min="3036" max="3036" width="29.5703125" customWidth="1"/>
    <col min="3037" max="3037" width="8.7109375" bestFit="1" customWidth="1"/>
    <col min="3038" max="3039" width="8.7109375" customWidth="1"/>
    <col min="3040" max="3041" width="16" customWidth="1"/>
    <col min="3042" max="3042" width="17.42578125" customWidth="1"/>
    <col min="3043" max="3043" width="14.5703125" customWidth="1"/>
    <col min="3044" max="3046" width="12.5703125" customWidth="1"/>
    <col min="3047" max="3047" width="14.42578125" customWidth="1"/>
    <col min="3048" max="3048" width="12.5703125" customWidth="1"/>
    <col min="3049" max="3051" width="14.5703125" customWidth="1"/>
    <col min="3052" max="3052" width="12.5703125" customWidth="1"/>
    <col min="3053" max="3053" width="11.42578125" customWidth="1"/>
    <col min="3054" max="3062" width="15.28515625" customWidth="1"/>
    <col min="3063" max="3063" width="13" customWidth="1"/>
    <col min="3064" max="3066" width="14.28515625" customWidth="1"/>
    <col min="3067" max="3067" width="13.42578125" customWidth="1"/>
    <col min="3068" max="3070" width="19.28515625" customWidth="1"/>
    <col min="3071" max="3071" width="26.42578125" customWidth="1"/>
    <col min="3072" max="3072" width="8.5703125" customWidth="1"/>
    <col min="3073" max="3074" width="19.42578125" customWidth="1"/>
    <col min="3075" max="3075" width="17.28515625" customWidth="1"/>
    <col min="3076" max="3076" width="16.5703125" customWidth="1"/>
    <col min="3077" max="3077" width="12.42578125" bestFit="1" customWidth="1"/>
    <col min="3078" max="3084" width="12.42578125" customWidth="1"/>
    <col min="3085" max="3085" width="20.42578125" bestFit="1" customWidth="1"/>
    <col min="3086" max="3086" width="21.7109375" customWidth="1"/>
    <col min="3087" max="3087" width="17" bestFit="1" customWidth="1"/>
    <col min="3088" max="3088" width="19.42578125" bestFit="1" customWidth="1"/>
    <col min="3089" max="3089" width="10.7109375" bestFit="1" customWidth="1"/>
    <col min="3090" max="3090" width="17" customWidth="1"/>
    <col min="3091" max="3092" width="12.42578125" customWidth="1"/>
    <col min="3093" max="3094" width="18.28515625" customWidth="1"/>
    <col min="3095" max="3095" width="9.28515625" bestFit="1" customWidth="1"/>
    <col min="3096" max="3096" width="15.42578125" customWidth="1"/>
    <col min="3097" max="3097" width="8.42578125" bestFit="1" customWidth="1"/>
    <col min="3098" max="3098" width="11.5703125" customWidth="1"/>
    <col min="3099" max="3099" width="8.42578125" customWidth="1"/>
    <col min="3100" max="3100" width="10.42578125" customWidth="1"/>
    <col min="3101" max="3101" width="11.28515625" customWidth="1"/>
    <col min="3102" max="3104" width="10.5703125" customWidth="1"/>
    <col min="3105" max="3105" width="11.28515625" customWidth="1"/>
    <col min="3106" max="3108" width="10.5703125" customWidth="1"/>
    <col min="3241" max="3241" width="12.5703125" bestFit="1" customWidth="1"/>
    <col min="3242" max="3242" width="12.5703125" customWidth="1"/>
    <col min="3243" max="3243" width="13.5703125" bestFit="1" customWidth="1"/>
    <col min="3244" max="3244" width="15" bestFit="1" customWidth="1"/>
    <col min="3245" max="3245" width="15" customWidth="1"/>
    <col min="3246" max="3250" width="18.5703125" customWidth="1"/>
    <col min="3251" max="3252" width="31.42578125" customWidth="1"/>
    <col min="3253" max="3253" width="13.5703125" bestFit="1" customWidth="1"/>
    <col min="3254" max="3254" width="13.5703125" customWidth="1"/>
    <col min="3255" max="3255" width="20.5703125" customWidth="1"/>
    <col min="3256" max="3256" width="16" customWidth="1"/>
    <col min="3257" max="3257" width="12.28515625" bestFit="1" customWidth="1"/>
    <col min="3258" max="3258" width="17.5703125" customWidth="1"/>
    <col min="3259" max="3259" width="16" customWidth="1"/>
    <col min="3260" max="3260" width="21" customWidth="1"/>
    <col min="3261" max="3261" width="17.5703125" customWidth="1"/>
    <col min="3262" max="3262" width="27" customWidth="1"/>
    <col min="3263" max="3265" width="23.28515625" customWidth="1"/>
    <col min="3266" max="3266" width="15.7109375" customWidth="1"/>
    <col min="3267" max="3267" width="16.42578125" customWidth="1"/>
    <col min="3268" max="3270" width="19.28515625" customWidth="1"/>
    <col min="3271" max="3272" width="5.28515625" bestFit="1" customWidth="1"/>
    <col min="3273" max="3273" width="12.7109375" customWidth="1"/>
    <col min="3274" max="3275" width="19.28515625" customWidth="1"/>
    <col min="3276" max="3278" width="13.5703125" customWidth="1"/>
    <col min="3279" max="3279" width="15.5703125" customWidth="1"/>
    <col min="3280" max="3281" width="14.7109375" customWidth="1"/>
    <col min="3282" max="3283" width="14.28515625" customWidth="1"/>
    <col min="3284" max="3284" width="13.5703125" bestFit="1" customWidth="1"/>
    <col min="3285" max="3285" width="19.5703125" customWidth="1"/>
    <col min="3286" max="3286" width="22" customWidth="1"/>
    <col min="3287" max="3287" width="14.5703125" customWidth="1"/>
    <col min="3288" max="3288" width="15" customWidth="1"/>
    <col min="3289" max="3289" width="12.5703125" bestFit="1" customWidth="1"/>
    <col min="3290" max="3290" width="14.42578125" customWidth="1"/>
    <col min="3291" max="3291" width="19.42578125" bestFit="1" customWidth="1"/>
    <col min="3292" max="3292" width="29.5703125" customWidth="1"/>
    <col min="3293" max="3293" width="8.7109375" bestFit="1" customWidth="1"/>
    <col min="3294" max="3295" width="8.7109375" customWidth="1"/>
    <col min="3296" max="3297" width="16" customWidth="1"/>
    <col min="3298" max="3298" width="17.42578125" customWidth="1"/>
    <col min="3299" max="3299" width="14.5703125" customWidth="1"/>
    <col min="3300" max="3302" width="12.5703125" customWidth="1"/>
    <col min="3303" max="3303" width="14.42578125" customWidth="1"/>
    <col min="3304" max="3304" width="12.5703125" customWidth="1"/>
    <col min="3305" max="3307" width="14.5703125" customWidth="1"/>
    <col min="3308" max="3308" width="12.5703125" customWidth="1"/>
    <col min="3309" max="3309" width="11.42578125" customWidth="1"/>
    <col min="3310" max="3318" width="15.28515625" customWidth="1"/>
    <col min="3319" max="3319" width="13" customWidth="1"/>
    <col min="3320" max="3322" width="14.28515625" customWidth="1"/>
    <col min="3323" max="3323" width="13.42578125" customWidth="1"/>
    <col min="3324" max="3326" width="19.28515625" customWidth="1"/>
    <col min="3327" max="3327" width="26.42578125" customWidth="1"/>
    <col min="3328" max="3328" width="8.5703125" customWidth="1"/>
    <col min="3329" max="3330" width="19.42578125" customWidth="1"/>
    <col min="3331" max="3331" width="17.28515625" customWidth="1"/>
    <col min="3332" max="3332" width="16.5703125" customWidth="1"/>
    <col min="3333" max="3333" width="12.42578125" bestFit="1" customWidth="1"/>
    <col min="3334" max="3340" width="12.42578125" customWidth="1"/>
    <col min="3341" max="3341" width="20.42578125" bestFit="1" customWidth="1"/>
    <col min="3342" max="3342" width="21.7109375" customWidth="1"/>
    <col min="3343" max="3343" width="17" bestFit="1" customWidth="1"/>
    <col min="3344" max="3344" width="19.42578125" bestFit="1" customWidth="1"/>
    <col min="3345" max="3345" width="10.7109375" bestFit="1" customWidth="1"/>
    <col min="3346" max="3346" width="17" customWidth="1"/>
    <col min="3347" max="3348" width="12.42578125" customWidth="1"/>
    <col min="3349" max="3350" width="18.28515625" customWidth="1"/>
    <col min="3351" max="3351" width="9.28515625" bestFit="1" customWidth="1"/>
    <col min="3352" max="3352" width="15.42578125" customWidth="1"/>
    <col min="3353" max="3353" width="8.42578125" bestFit="1" customWidth="1"/>
    <col min="3354" max="3354" width="11.5703125" customWidth="1"/>
    <col min="3355" max="3355" width="8.42578125" customWidth="1"/>
    <col min="3356" max="3356" width="10.42578125" customWidth="1"/>
    <col min="3357" max="3357" width="11.28515625" customWidth="1"/>
    <col min="3358" max="3360" width="10.5703125" customWidth="1"/>
    <col min="3361" max="3361" width="11.28515625" customWidth="1"/>
    <col min="3362" max="3364" width="10.5703125" customWidth="1"/>
    <col min="3497" max="3497" width="12.5703125" bestFit="1" customWidth="1"/>
    <col min="3498" max="3498" width="12.5703125" customWidth="1"/>
    <col min="3499" max="3499" width="13.5703125" bestFit="1" customWidth="1"/>
    <col min="3500" max="3500" width="15" bestFit="1" customWidth="1"/>
    <col min="3501" max="3501" width="15" customWidth="1"/>
    <col min="3502" max="3506" width="18.5703125" customWidth="1"/>
    <col min="3507" max="3508" width="31.42578125" customWidth="1"/>
    <col min="3509" max="3509" width="13.5703125" bestFit="1" customWidth="1"/>
    <col min="3510" max="3510" width="13.5703125" customWidth="1"/>
    <col min="3511" max="3511" width="20.5703125" customWidth="1"/>
    <col min="3512" max="3512" width="16" customWidth="1"/>
    <col min="3513" max="3513" width="12.28515625" bestFit="1" customWidth="1"/>
    <col min="3514" max="3514" width="17.5703125" customWidth="1"/>
    <col min="3515" max="3515" width="16" customWidth="1"/>
    <col min="3516" max="3516" width="21" customWidth="1"/>
    <col min="3517" max="3517" width="17.5703125" customWidth="1"/>
    <col min="3518" max="3518" width="27" customWidth="1"/>
    <col min="3519" max="3521" width="23.28515625" customWidth="1"/>
    <col min="3522" max="3522" width="15.7109375" customWidth="1"/>
    <col min="3523" max="3523" width="16.42578125" customWidth="1"/>
    <col min="3524" max="3526" width="19.28515625" customWidth="1"/>
    <col min="3527" max="3528" width="5.28515625" bestFit="1" customWidth="1"/>
    <col min="3529" max="3529" width="12.7109375" customWidth="1"/>
    <col min="3530" max="3531" width="19.28515625" customWidth="1"/>
    <col min="3532" max="3534" width="13.5703125" customWidth="1"/>
    <col min="3535" max="3535" width="15.5703125" customWidth="1"/>
    <col min="3536" max="3537" width="14.7109375" customWidth="1"/>
    <col min="3538" max="3539" width="14.28515625" customWidth="1"/>
    <col min="3540" max="3540" width="13.5703125" bestFit="1" customWidth="1"/>
    <col min="3541" max="3541" width="19.5703125" customWidth="1"/>
    <col min="3542" max="3542" width="22" customWidth="1"/>
    <col min="3543" max="3543" width="14.5703125" customWidth="1"/>
    <col min="3544" max="3544" width="15" customWidth="1"/>
    <col min="3545" max="3545" width="12.5703125" bestFit="1" customWidth="1"/>
    <col min="3546" max="3546" width="14.42578125" customWidth="1"/>
    <col min="3547" max="3547" width="19.42578125" bestFit="1" customWidth="1"/>
    <col min="3548" max="3548" width="29.5703125" customWidth="1"/>
    <col min="3549" max="3549" width="8.7109375" bestFit="1" customWidth="1"/>
    <col min="3550" max="3551" width="8.7109375" customWidth="1"/>
    <col min="3552" max="3553" width="16" customWidth="1"/>
    <col min="3554" max="3554" width="17.42578125" customWidth="1"/>
    <col min="3555" max="3555" width="14.5703125" customWidth="1"/>
    <col min="3556" max="3558" width="12.5703125" customWidth="1"/>
    <col min="3559" max="3559" width="14.42578125" customWidth="1"/>
    <col min="3560" max="3560" width="12.5703125" customWidth="1"/>
    <col min="3561" max="3563" width="14.5703125" customWidth="1"/>
    <col min="3564" max="3564" width="12.5703125" customWidth="1"/>
    <col min="3565" max="3565" width="11.42578125" customWidth="1"/>
    <col min="3566" max="3574" width="15.28515625" customWidth="1"/>
    <col min="3575" max="3575" width="13" customWidth="1"/>
    <col min="3576" max="3578" width="14.28515625" customWidth="1"/>
    <col min="3579" max="3579" width="13.42578125" customWidth="1"/>
    <col min="3580" max="3582" width="19.28515625" customWidth="1"/>
    <col min="3583" max="3583" width="26.42578125" customWidth="1"/>
    <col min="3584" max="3584" width="8.5703125" customWidth="1"/>
    <col min="3585" max="3586" width="19.42578125" customWidth="1"/>
    <col min="3587" max="3587" width="17.28515625" customWidth="1"/>
    <col min="3588" max="3588" width="16.5703125" customWidth="1"/>
    <col min="3589" max="3589" width="12.42578125" bestFit="1" customWidth="1"/>
    <col min="3590" max="3596" width="12.42578125" customWidth="1"/>
    <col min="3597" max="3597" width="20.42578125" bestFit="1" customWidth="1"/>
    <col min="3598" max="3598" width="21.7109375" customWidth="1"/>
    <col min="3599" max="3599" width="17" bestFit="1" customWidth="1"/>
    <col min="3600" max="3600" width="19.42578125" bestFit="1" customWidth="1"/>
    <col min="3601" max="3601" width="10.7109375" bestFit="1" customWidth="1"/>
    <col min="3602" max="3602" width="17" customWidth="1"/>
    <col min="3603" max="3604" width="12.42578125" customWidth="1"/>
    <col min="3605" max="3606" width="18.28515625" customWidth="1"/>
    <col min="3607" max="3607" width="9.28515625" bestFit="1" customWidth="1"/>
    <col min="3608" max="3608" width="15.42578125" customWidth="1"/>
    <col min="3609" max="3609" width="8.42578125" bestFit="1" customWidth="1"/>
    <col min="3610" max="3610" width="11.5703125" customWidth="1"/>
    <col min="3611" max="3611" width="8.42578125" customWidth="1"/>
    <col min="3612" max="3612" width="10.42578125" customWidth="1"/>
    <col min="3613" max="3613" width="11.28515625" customWidth="1"/>
    <col min="3614" max="3616" width="10.5703125" customWidth="1"/>
    <col min="3617" max="3617" width="11.28515625" customWidth="1"/>
    <col min="3618" max="3620" width="10.5703125" customWidth="1"/>
    <col min="3753" max="3753" width="12.5703125" bestFit="1" customWidth="1"/>
    <col min="3754" max="3754" width="12.5703125" customWidth="1"/>
    <col min="3755" max="3755" width="13.5703125" bestFit="1" customWidth="1"/>
    <col min="3756" max="3756" width="15" bestFit="1" customWidth="1"/>
    <col min="3757" max="3757" width="15" customWidth="1"/>
    <col min="3758" max="3762" width="18.5703125" customWidth="1"/>
    <col min="3763" max="3764" width="31.42578125" customWidth="1"/>
    <col min="3765" max="3765" width="13.5703125" bestFit="1" customWidth="1"/>
    <col min="3766" max="3766" width="13.5703125" customWidth="1"/>
    <col min="3767" max="3767" width="20.5703125" customWidth="1"/>
    <col min="3768" max="3768" width="16" customWidth="1"/>
    <col min="3769" max="3769" width="12.28515625" bestFit="1" customWidth="1"/>
    <col min="3770" max="3770" width="17.5703125" customWidth="1"/>
    <col min="3771" max="3771" width="16" customWidth="1"/>
    <col min="3772" max="3772" width="21" customWidth="1"/>
    <col min="3773" max="3773" width="17.5703125" customWidth="1"/>
    <col min="3774" max="3774" width="27" customWidth="1"/>
    <col min="3775" max="3777" width="23.28515625" customWidth="1"/>
    <col min="3778" max="3778" width="15.7109375" customWidth="1"/>
    <col min="3779" max="3779" width="16.42578125" customWidth="1"/>
    <col min="3780" max="3782" width="19.28515625" customWidth="1"/>
    <col min="3783" max="3784" width="5.28515625" bestFit="1" customWidth="1"/>
    <col min="3785" max="3785" width="12.7109375" customWidth="1"/>
    <col min="3786" max="3787" width="19.28515625" customWidth="1"/>
    <col min="3788" max="3790" width="13.5703125" customWidth="1"/>
    <col min="3791" max="3791" width="15.5703125" customWidth="1"/>
    <col min="3792" max="3793" width="14.7109375" customWidth="1"/>
    <col min="3794" max="3795" width="14.28515625" customWidth="1"/>
    <col min="3796" max="3796" width="13.5703125" bestFit="1" customWidth="1"/>
    <col min="3797" max="3797" width="19.5703125" customWidth="1"/>
    <col min="3798" max="3798" width="22" customWidth="1"/>
    <col min="3799" max="3799" width="14.5703125" customWidth="1"/>
    <col min="3800" max="3800" width="15" customWidth="1"/>
    <col min="3801" max="3801" width="12.5703125" bestFit="1" customWidth="1"/>
    <col min="3802" max="3802" width="14.42578125" customWidth="1"/>
    <col min="3803" max="3803" width="19.42578125" bestFit="1" customWidth="1"/>
    <col min="3804" max="3804" width="29.5703125" customWidth="1"/>
    <col min="3805" max="3805" width="8.7109375" bestFit="1" customWidth="1"/>
    <col min="3806" max="3807" width="8.7109375" customWidth="1"/>
    <col min="3808" max="3809" width="16" customWidth="1"/>
    <col min="3810" max="3810" width="17.42578125" customWidth="1"/>
    <col min="3811" max="3811" width="14.5703125" customWidth="1"/>
    <col min="3812" max="3814" width="12.5703125" customWidth="1"/>
    <col min="3815" max="3815" width="14.42578125" customWidth="1"/>
    <col min="3816" max="3816" width="12.5703125" customWidth="1"/>
    <col min="3817" max="3819" width="14.5703125" customWidth="1"/>
    <col min="3820" max="3820" width="12.5703125" customWidth="1"/>
    <col min="3821" max="3821" width="11.42578125" customWidth="1"/>
    <col min="3822" max="3830" width="15.28515625" customWidth="1"/>
    <col min="3831" max="3831" width="13" customWidth="1"/>
    <col min="3832" max="3834" width="14.28515625" customWidth="1"/>
    <col min="3835" max="3835" width="13.42578125" customWidth="1"/>
    <col min="3836" max="3838" width="19.28515625" customWidth="1"/>
    <col min="3839" max="3839" width="26.42578125" customWidth="1"/>
    <col min="3840" max="3840" width="8.5703125" customWidth="1"/>
    <col min="3841" max="3842" width="19.42578125" customWidth="1"/>
    <col min="3843" max="3843" width="17.28515625" customWidth="1"/>
    <col min="3844" max="3844" width="16.5703125" customWidth="1"/>
    <col min="3845" max="3845" width="12.42578125" bestFit="1" customWidth="1"/>
    <col min="3846" max="3852" width="12.42578125" customWidth="1"/>
    <col min="3853" max="3853" width="20.42578125" bestFit="1" customWidth="1"/>
    <col min="3854" max="3854" width="21.7109375" customWidth="1"/>
    <col min="3855" max="3855" width="17" bestFit="1" customWidth="1"/>
    <col min="3856" max="3856" width="19.42578125" bestFit="1" customWidth="1"/>
    <col min="3857" max="3857" width="10.7109375" bestFit="1" customWidth="1"/>
    <col min="3858" max="3858" width="17" customWidth="1"/>
    <col min="3859" max="3860" width="12.42578125" customWidth="1"/>
    <col min="3861" max="3862" width="18.28515625" customWidth="1"/>
    <col min="3863" max="3863" width="9.28515625" bestFit="1" customWidth="1"/>
    <col min="3864" max="3864" width="15.42578125" customWidth="1"/>
    <col min="3865" max="3865" width="8.42578125" bestFit="1" customWidth="1"/>
    <col min="3866" max="3866" width="11.5703125" customWidth="1"/>
    <col min="3867" max="3867" width="8.42578125" customWidth="1"/>
    <col min="3868" max="3868" width="10.42578125" customWidth="1"/>
    <col min="3869" max="3869" width="11.28515625" customWidth="1"/>
    <col min="3870" max="3872" width="10.5703125" customWidth="1"/>
    <col min="3873" max="3873" width="11.28515625" customWidth="1"/>
    <col min="3874" max="3876" width="10.5703125" customWidth="1"/>
    <col min="4009" max="4009" width="12.5703125" bestFit="1" customWidth="1"/>
    <col min="4010" max="4010" width="12.5703125" customWidth="1"/>
    <col min="4011" max="4011" width="13.5703125" bestFit="1" customWidth="1"/>
    <col min="4012" max="4012" width="15" bestFit="1" customWidth="1"/>
    <col min="4013" max="4013" width="15" customWidth="1"/>
    <col min="4014" max="4018" width="18.5703125" customWidth="1"/>
    <col min="4019" max="4020" width="31.42578125" customWidth="1"/>
    <col min="4021" max="4021" width="13.5703125" bestFit="1" customWidth="1"/>
    <col min="4022" max="4022" width="13.5703125" customWidth="1"/>
    <col min="4023" max="4023" width="20.5703125" customWidth="1"/>
    <col min="4024" max="4024" width="16" customWidth="1"/>
    <col min="4025" max="4025" width="12.28515625" bestFit="1" customWidth="1"/>
    <col min="4026" max="4026" width="17.5703125" customWidth="1"/>
    <col min="4027" max="4027" width="16" customWidth="1"/>
    <col min="4028" max="4028" width="21" customWidth="1"/>
    <col min="4029" max="4029" width="17.5703125" customWidth="1"/>
    <col min="4030" max="4030" width="27" customWidth="1"/>
    <col min="4031" max="4033" width="23.28515625" customWidth="1"/>
    <col min="4034" max="4034" width="15.7109375" customWidth="1"/>
    <col min="4035" max="4035" width="16.42578125" customWidth="1"/>
    <col min="4036" max="4038" width="19.28515625" customWidth="1"/>
    <col min="4039" max="4040" width="5.28515625" bestFit="1" customWidth="1"/>
    <col min="4041" max="4041" width="12.7109375" customWidth="1"/>
    <col min="4042" max="4043" width="19.28515625" customWidth="1"/>
    <col min="4044" max="4046" width="13.5703125" customWidth="1"/>
    <col min="4047" max="4047" width="15.5703125" customWidth="1"/>
    <col min="4048" max="4049" width="14.7109375" customWidth="1"/>
    <col min="4050" max="4051" width="14.28515625" customWidth="1"/>
    <col min="4052" max="4052" width="13.5703125" bestFit="1" customWidth="1"/>
    <col min="4053" max="4053" width="19.5703125" customWidth="1"/>
    <col min="4054" max="4054" width="22" customWidth="1"/>
    <col min="4055" max="4055" width="14.5703125" customWidth="1"/>
    <col min="4056" max="4056" width="15" customWidth="1"/>
    <col min="4057" max="4057" width="12.5703125" bestFit="1" customWidth="1"/>
    <col min="4058" max="4058" width="14.42578125" customWidth="1"/>
    <col min="4059" max="4059" width="19.42578125" bestFit="1" customWidth="1"/>
    <col min="4060" max="4060" width="29.5703125" customWidth="1"/>
    <col min="4061" max="4061" width="8.7109375" bestFit="1" customWidth="1"/>
    <col min="4062" max="4063" width="8.7109375" customWidth="1"/>
    <col min="4064" max="4065" width="16" customWidth="1"/>
    <col min="4066" max="4066" width="17.42578125" customWidth="1"/>
    <col min="4067" max="4067" width="14.5703125" customWidth="1"/>
    <col min="4068" max="4070" width="12.5703125" customWidth="1"/>
    <col min="4071" max="4071" width="14.42578125" customWidth="1"/>
    <col min="4072" max="4072" width="12.5703125" customWidth="1"/>
    <col min="4073" max="4075" width="14.5703125" customWidth="1"/>
    <col min="4076" max="4076" width="12.5703125" customWidth="1"/>
    <col min="4077" max="4077" width="11.42578125" customWidth="1"/>
    <col min="4078" max="4086" width="15.28515625" customWidth="1"/>
    <col min="4087" max="4087" width="13" customWidth="1"/>
    <col min="4088" max="4090" width="14.28515625" customWidth="1"/>
    <col min="4091" max="4091" width="13.42578125" customWidth="1"/>
    <col min="4092" max="4094" width="19.28515625" customWidth="1"/>
    <col min="4095" max="4095" width="26.42578125" customWidth="1"/>
    <col min="4096" max="4096" width="8.5703125" customWidth="1"/>
    <col min="4097" max="4098" width="19.42578125" customWidth="1"/>
    <col min="4099" max="4099" width="17.28515625" customWidth="1"/>
    <col min="4100" max="4100" width="16.5703125" customWidth="1"/>
    <col min="4101" max="4101" width="12.42578125" bestFit="1" customWidth="1"/>
    <col min="4102" max="4108" width="12.42578125" customWidth="1"/>
    <col min="4109" max="4109" width="20.42578125" bestFit="1" customWidth="1"/>
    <col min="4110" max="4110" width="21.7109375" customWidth="1"/>
    <col min="4111" max="4111" width="17" bestFit="1" customWidth="1"/>
    <col min="4112" max="4112" width="19.42578125" bestFit="1" customWidth="1"/>
    <col min="4113" max="4113" width="10.7109375" bestFit="1" customWidth="1"/>
    <col min="4114" max="4114" width="17" customWidth="1"/>
    <col min="4115" max="4116" width="12.42578125" customWidth="1"/>
    <col min="4117" max="4118" width="18.28515625" customWidth="1"/>
    <col min="4119" max="4119" width="9.28515625" bestFit="1" customWidth="1"/>
    <col min="4120" max="4120" width="15.42578125" customWidth="1"/>
    <col min="4121" max="4121" width="8.42578125" bestFit="1" customWidth="1"/>
    <col min="4122" max="4122" width="11.5703125" customWidth="1"/>
    <col min="4123" max="4123" width="8.42578125" customWidth="1"/>
    <col min="4124" max="4124" width="10.42578125" customWidth="1"/>
    <col min="4125" max="4125" width="11.28515625" customWidth="1"/>
    <col min="4126" max="4128" width="10.5703125" customWidth="1"/>
    <col min="4129" max="4129" width="11.28515625" customWidth="1"/>
    <col min="4130" max="4132" width="10.5703125" customWidth="1"/>
    <col min="4265" max="4265" width="12.5703125" bestFit="1" customWidth="1"/>
    <col min="4266" max="4266" width="12.5703125" customWidth="1"/>
    <col min="4267" max="4267" width="13.5703125" bestFit="1" customWidth="1"/>
    <col min="4268" max="4268" width="15" bestFit="1" customWidth="1"/>
    <col min="4269" max="4269" width="15" customWidth="1"/>
    <col min="4270" max="4274" width="18.5703125" customWidth="1"/>
    <col min="4275" max="4276" width="31.42578125" customWidth="1"/>
    <col min="4277" max="4277" width="13.5703125" bestFit="1" customWidth="1"/>
    <col min="4278" max="4278" width="13.5703125" customWidth="1"/>
    <col min="4279" max="4279" width="20.5703125" customWidth="1"/>
    <col min="4280" max="4280" width="16" customWidth="1"/>
    <col min="4281" max="4281" width="12.28515625" bestFit="1" customWidth="1"/>
    <col min="4282" max="4282" width="17.5703125" customWidth="1"/>
    <col min="4283" max="4283" width="16" customWidth="1"/>
    <col min="4284" max="4284" width="21" customWidth="1"/>
    <col min="4285" max="4285" width="17.5703125" customWidth="1"/>
    <col min="4286" max="4286" width="27" customWidth="1"/>
    <col min="4287" max="4289" width="23.28515625" customWidth="1"/>
    <col min="4290" max="4290" width="15.7109375" customWidth="1"/>
    <col min="4291" max="4291" width="16.42578125" customWidth="1"/>
    <col min="4292" max="4294" width="19.28515625" customWidth="1"/>
    <col min="4295" max="4296" width="5.28515625" bestFit="1" customWidth="1"/>
    <col min="4297" max="4297" width="12.7109375" customWidth="1"/>
    <col min="4298" max="4299" width="19.28515625" customWidth="1"/>
    <col min="4300" max="4302" width="13.5703125" customWidth="1"/>
    <col min="4303" max="4303" width="15.5703125" customWidth="1"/>
    <col min="4304" max="4305" width="14.7109375" customWidth="1"/>
    <col min="4306" max="4307" width="14.28515625" customWidth="1"/>
    <col min="4308" max="4308" width="13.5703125" bestFit="1" customWidth="1"/>
    <col min="4309" max="4309" width="19.5703125" customWidth="1"/>
    <col min="4310" max="4310" width="22" customWidth="1"/>
    <col min="4311" max="4311" width="14.5703125" customWidth="1"/>
    <col min="4312" max="4312" width="15" customWidth="1"/>
    <col min="4313" max="4313" width="12.5703125" bestFit="1" customWidth="1"/>
    <col min="4314" max="4314" width="14.42578125" customWidth="1"/>
    <col min="4315" max="4315" width="19.42578125" bestFit="1" customWidth="1"/>
    <col min="4316" max="4316" width="29.5703125" customWidth="1"/>
    <col min="4317" max="4317" width="8.7109375" bestFit="1" customWidth="1"/>
    <col min="4318" max="4319" width="8.7109375" customWidth="1"/>
    <col min="4320" max="4321" width="16" customWidth="1"/>
    <col min="4322" max="4322" width="17.42578125" customWidth="1"/>
    <col min="4323" max="4323" width="14.5703125" customWidth="1"/>
    <col min="4324" max="4326" width="12.5703125" customWidth="1"/>
    <col min="4327" max="4327" width="14.42578125" customWidth="1"/>
    <col min="4328" max="4328" width="12.5703125" customWidth="1"/>
    <col min="4329" max="4331" width="14.5703125" customWidth="1"/>
    <col min="4332" max="4332" width="12.5703125" customWidth="1"/>
    <col min="4333" max="4333" width="11.42578125" customWidth="1"/>
    <col min="4334" max="4342" width="15.28515625" customWidth="1"/>
    <col min="4343" max="4343" width="13" customWidth="1"/>
    <col min="4344" max="4346" width="14.28515625" customWidth="1"/>
    <col min="4347" max="4347" width="13.42578125" customWidth="1"/>
    <col min="4348" max="4350" width="19.28515625" customWidth="1"/>
    <col min="4351" max="4351" width="26.42578125" customWidth="1"/>
    <col min="4352" max="4352" width="8.5703125" customWidth="1"/>
    <col min="4353" max="4354" width="19.42578125" customWidth="1"/>
    <col min="4355" max="4355" width="17.28515625" customWidth="1"/>
    <col min="4356" max="4356" width="16.5703125" customWidth="1"/>
    <col min="4357" max="4357" width="12.42578125" bestFit="1" customWidth="1"/>
    <col min="4358" max="4364" width="12.42578125" customWidth="1"/>
    <col min="4365" max="4365" width="20.42578125" bestFit="1" customWidth="1"/>
    <col min="4366" max="4366" width="21.7109375" customWidth="1"/>
    <col min="4367" max="4367" width="17" bestFit="1" customWidth="1"/>
    <col min="4368" max="4368" width="19.42578125" bestFit="1" customWidth="1"/>
    <col min="4369" max="4369" width="10.7109375" bestFit="1" customWidth="1"/>
    <col min="4370" max="4370" width="17" customWidth="1"/>
    <col min="4371" max="4372" width="12.42578125" customWidth="1"/>
    <col min="4373" max="4374" width="18.28515625" customWidth="1"/>
    <col min="4375" max="4375" width="9.28515625" bestFit="1" customWidth="1"/>
    <col min="4376" max="4376" width="15.42578125" customWidth="1"/>
    <col min="4377" max="4377" width="8.42578125" bestFit="1" customWidth="1"/>
    <col min="4378" max="4378" width="11.5703125" customWidth="1"/>
    <col min="4379" max="4379" width="8.42578125" customWidth="1"/>
    <col min="4380" max="4380" width="10.42578125" customWidth="1"/>
    <col min="4381" max="4381" width="11.28515625" customWidth="1"/>
    <col min="4382" max="4384" width="10.5703125" customWidth="1"/>
    <col min="4385" max="4385" width="11.28515625" customWidth="1"/>
    <col min="4386" max="4388" width="10.5703125" customWidth="1"/>
    <col min="4521" max="4521" width="12.5703125" bestFit="1" customWidth="1"/>
    <col min="4522" max="4522" width="12.5703125" customWidth="1"/>
    <col min="4523" max="4523" width="13.5703125" bestFit="1" customWidth="1"/>
    <col min="4524" max="4524" width="15" bestFit="1" customWidth="1"/>
    <col min="4525" max="4525" width="15" customWidth="1"/>
    <col min="4526" max="4530" width="18.5703125" customWidth="1"/>
    <col min="4531" max="4532" width="31.42578125" customWidth="1"/>
    <col min="4533" max="4533" width="13.5703125" bestFit="1" customWidth="1"/>
    <col min="4534" max="4534" width="13.5703125" customWidth="1"/>
    <col min="4535" max="4535" width="20.5703125" customWidth="1"/>
    <col min="4536" max="4536" width="16" customWidth="1"/>
    <col min="4537" max="4537" width="12.28515625" bestFit="1" customWidth="1"/>
    <col min="4538" max="4538" width="17.5703125" customWidth="1"/>
    <col min="4539" max="4539" width="16" customWidth="1"/>
    <col min="4540" max="4540" width="21" customWidth="1"/>
    <col min="4541" max="4541" width="17.5703125" customWidth="1"/>
    <col min="4542" max="4542" width="27" customWidth="1"/>
    <col min="4543" max="4545" width="23.28515625" customWidth="1"/>
    <col min="4546" max="4546" width="15.7109375" customWidth="1"/>
    <col min="4547" max="4547" width="16.42578125" customWidth="1"/>
    <col min="4548" max="4550" width="19.28515625" customWidth="1"/>
    <col min="4551" max="4552" width="5.28515625" bestFit="1" customWidth="1"/>
    <col min="4553" max="4553" width="12.7109375" customWidth="1"/>
    <col min="4554" max="4555" width="19.28515625" customWidth="1"/>
    <col min="4556" max="4558" width="13.5703125" customWidth="1"/>
    <col min="4559" max="4559" width="15.5703125" customWidth="1"/>
    <col min="4560" max="4561" width="14.7109375" customWidth="1"/>
    <col min="4562" max="4563" width="14.28515625" customWidth="1"/>
    <col min="4564" max="4564" width="13.5703125" bestFit="1" customWidth="1"/>
    <col min="4565" max="4565" width="19.5703125" customWidth="1"/>
    <col min="4566" max="4566" width="22" customWidth="1"/>
    <col min="4567" max="4567" width="14.5703125" customWidth="1"/>
    <col min="4568" max="4568" width="15" customWidth="1"/>
    <col min="4569" max="4569" width="12.5703125" bestFit="1" customWidth="1"/>
    <col min="4570" max="4570" width="14.42578125" customWidth="1"/>
    <col min="4571" max="4571" width="19.42578125" bestFit="1" customWidth="1"/>
    <col min="4572" max="4572" width="29.5703125" customWidth="1"/>
    <col min="4573" max="4573" width="8.7109375" bestFit="1" customWidth="1"/>
    <col min="4574" max="4575" width="8.7109375" customWidth="1"/>
    <col min="4576" max="4577" width="16" customWidth="1"/>
    <col min="4578" max="4578" width="17.42578125" customWidth="1"/>
    <col min="4579" max="4579" width="14.5703125" customWidth="1"/>
    <col min="4580" max="4582" width="12.5703125" customWidth="1"/>
    <col min="4583" max="4583" width="14.42578125" customWidth="1"/>
    <col min="4584" max="4584" width="12.5703125" customWidth="1"/>
    <col min="4585" max="4587" width="14.5703125" customWidth="1"/>
    <col min="4588" max="4588" width="12.5703125" customWidth="1"/>
    <col min="4589" max="4589" width="11.42578125" customWidth="1"/>
    <col min="4590" max="4598" width="15.28515625" customWidth="1"/>
    <col min="4599" max="4599" width="13" customWidth="1"/>
    <col min="4600" max="4602" width="14.28515625" customWidth="1"/>
    <col min="4603" max="4603" width="13.42578125" customWidth="1"/>
    <col min="4604" max="4606" width="19.28515625" customWidth="1"/>
    <col min="4607" max="4607" width="26.42578125" customWidth="1"/>
    <col min="4608" max="4608" width="8.5703125" customWidth="1"/>
    <col min="4609" max="4610" width="19.42578125" customWidth="1"/>
    <col min="4611" max="4611" width="17.28515625" customWidth="1"/>
    <col min="4612" max="4612" width="16.5703125" customWidth="1"/>
    <col min="4613" max="4613" width="12.42578125" bestFit="1" customWidth="1"/>
    <col min="4614" max="4620" width="12.42578125" customWidth="1"/>
    <col min="4621" max="4621" width="20.42578125" bestFit="1" customWidth="1"/>
    <col min="4622" max="4622" width="21.7109375" customWidth="1"/>
    <col min="4623" max="4623" width="17" bestFit="1" customWidth="1"/>
    <col min="4624" max="4624" width="19.42578125" bestFit="1" customWidth="1"/>
    <col min="4625" max="4625" width="10.7109375" bestFit="1" customWidth="1"/>
    <col min="4626" max="4626" width="17" customWidth="1"/>
    <col min="4627" max="4628" width="12.42578125" customWidth="1"/>
    <col min="4629" max="4630" width="18.28515625" customWidth="1"/>
    <col min="4631" max="4631" width="9.28515625" bestFit="1" customWidth="1"/>
    <col min="4632" max="4632" width="15.42578125" customWidth="1"/>
    <col min="4633" max="4633" width="8.42578125" bestFit="1" customWidth="1"/>
    <col min="4634" max="4634" width="11.5703125" customWidth="1"/>
    <col min="4635" max="4635" width="8.42578125" customWidth="1"/>
    <col min="4636" max="4636" width="10.42578125" customWidth="1"/>
    <col min="4637" max="4637" width="11.28515625" customWidth="1"/>
    <col min="4638" max="4640" width="10.5703125" customWidth="1"/>
    <col min="4641" max="4641" width="11.28515625" customWidth="1"/>
    <col min="4642" max="4644" width="10.5703125" customWidth="1"/>
    <col min="4777" max="4777" width="12.5703125" bestFit="1" customWidth="1"/>
    <col min="4778" max="4778" width="12.5703125" customWidth="1"/>
    <col min="4779" max="4779" width="13.5703125" bestFit="1" customWidth="1"/>
    <col min="4780" max="4780" width="15" bestFit="1" customWidth="1"/>
    <col min="4781" max="4781" width="15" customWidth="1"/>
    <col min="4782" max="4786" width="18.5703125" customWidth="1"/>
    <col min="4787" max="4788" width="31.42578125" customWidth="1"/>
    <col min="4789" max="4789" width="13.5703125" bestFit="1" customWidth="1"/>
    <col min="4790" max="4790" width="13.5703125" customWidth="1"/>
    <col min="4791" max="4791" width="20.5703125" customWidth="1"/>
    <col min="4792" max="4792" width="16" customWidth="1"/>
    <col min="4793" max="4793" width="12.28515625" bestFit="1" customWidth="1"/>
    <col min="4794" max="4794" width="17.5703125" customWidth="1"/>
    <col min="4795" max="4795" width="16" customWidth="1"/>
    <col min="4796" max="4796" width="21" customWidth="1"/>
    <col min="4797" max="4797" width="17.5703125" customWidth="1"/>
    <col min="4798" max="4798" width="27" customWidth="1"/>
    <col min="4799" max="4801" width="23.28515625" customWidth="1"/>
    <col min="4802" max="4802" width="15.7109375" customWidth="1"/>
    <col min="4803" max="4803" width="16.42578125" customWidth="1"/>
    <col min="4804" max="4806" width="19.28515625" customWidth="1"/>
    <col min="4807" max="4808" width="5.28515625" bestFit="1" customWidth="1"/>
    <col min="4809" max="4809" width="12.7109375" customWidth="1"/>
    <col min="4810" max="4811" width="19.28515625" customWidth="1"/>
    <col min="4812" max="4814" width="13.5703125" customWidth="1"/>
    <col min="4815" max="4815" width="15.5703125" customWidth="1"/>
    <col min="4816" max="4817" width="14.7109375" customWidth="1"/>
    <col min="4818" max="4819" width="14.28515625" customWidth="1"/>
    <col min="4820" max="4820" width="13.5703125" bestFit="1" customWidth="1"/>
    <col min="4821" max="4821" width="19.5703125" customWidth="1"/>
    <col min="4822" max="4822" width="22" customWidth="1"/>
    <col min="4823" max="4823" width="14.5703125" customWidth="1"/>
    <col min="4824" max="4824" width="15" customWidth="1"/>
    <col min="4825" max="4825" width="12.5703125" bestFit="1" customWidth="1"/>
    <col min="4826" max="4826" width="14.42578125" customWidth="1"/>
    <col min="4827" max="4827" width="19.42578125" bestFit="1" customWidth="1"/>
    <col min="4828" max="4828" width="29.5703125" customWidth="1"/>
    <col min="4829" max="4829" width="8.7109375" bestFit="1" customWidth="1"/>
    <col min="4830" max="4831" width="8.7109375" customWidth="1"/>
    <col min="4832" max="4833" width="16" customWidth="1"/>
    <col min="4834" max="4834" width="17.42578125" customWidth="1"/>
    <col min="4835" max="4835" width="14.5703125" customWidth="1"/>
    <col min="4836" max="4838" width="12.5703125" customWidth="1"/>
    <col min="4839" max="4839" width="14.42578125" customWidth="1"/>
    <col min="4840" max="4840" width="12.5703125" customWidth="1"/>
    <col min="4841" max="4843" width="14.5703125" customWidth="1"/>
    <col min="4844" max="4844" width="12.5703125" customWidth="1"/>
    <col min="4845" max="4845" width="11.42578125" customWidth="1"/>
    <col min="4846" max="4854" width="15.28515625" customWidth="1"/>
    <col min="4855" max="4855" width="13" customWidth="1"/>
    <col min="4856" max="4858" width="14.28515625" customWidth="1"/>
    <col min="4859" max="4859" width="13.42578125" customWidth="1"/>
    <col min="4860" max="4862" width="19.28515625" customWidth="1"/>
    <col min="4863" max="4863" width="26.42578125" customWidth="1"/>
    <col min="4864" max="4864" width="8.5703125" customWidth="1"/>
    <col min="4865" max="4866" width="19.42578125" customWidth="1"/>
    <col min="4867" max="4867" width="17.28515625" customWidth="1"/>
    <col min="4868" max="4868" width="16.5703125" customWidth="1"/>
    <col min="4869" max="4869" width="12.42578125" bestFit="1" customWidth="1"/>
    <col min="4870" max="4876" width="12.42578125" customWidth="1"/>
    <col min="4877" max="4877" width="20.42578125" bestFit="1" customWidth="1"/>
    <col min="4878" max="4878" width="21.7109375" customWidth="1"/>
    <col min="4879" max="4879" width="17" bestFit="1" customWidth="1"/>
    <col min="4880" max="4880" width="19.42578125" bestFit="1" customWidth="1"/>
    <col min="4881" max="4881" width="10.7109375" bestFit="1" customWidth="1"/>
    <col min="4882" max="4882" width="17" customWidth="1"/>
    <col min="4883" max="4884" width="12.42578125" customWidth="1"/>
    <col min="4885" max="4886" width="18.28515625" customWidth="1"/>
    <col min="4887" max="4887" width="9.28515625" bestFit="1" customWidth="1"/>
    <col min="4888" max="4888" width="15.42578125" customWidth="1"/>
    <col min="4889" max="4889" width="8.42578125" bestFit="1" customWidth="1"/>
    <col min="4890" max="4890" width="11.5703125" customWidth="1"/>
    <col min="4891" max="4891" width="8.42578125" customWidth="1"/>
    <col min="4892" max="4892" width="10.42578125" customWidth="1"/>
    <col min="4893" max="4893" width="11.28515625" customWidth="1"/>
    <col min="4894" max="4896" width="10.5703125" customWidth="1"/>
    <col min="4897" max="4897" width="11.28515625" customWidth="1"/>
    <col min="4898" max="4900" width="10.5703125" customWidth="1"/>
    <col min="5033" max="5033" width="12.5703125" bestFit="1" customWidth="1"/>
    <col min="5034" max="5034" width="12.5703125" customWidth="1"/>
    <col min="5035" max="5035" width="13.5703125" bestFit="1" customWidth="1"/>
    <col min="5036" max="5036" width="15" bestFit="1" customWidth="1"/>
    <col min="5037" max="5037" width="15" customWidth="1"/>
    <col min="5038" max="5042" width="18.5703125" customWidth="1"/>
    <col min="5043" max="5044" width="31.42578125" customWidth="1"/>
    <col min="5045" max="5045" width="13.5703125" bestFit="1" customWidth="1"/>
    <col min="5046" max="5046" width="13.5703125" customWidth="1"/>
    <col min="5047" max="5047" width="20.5703125" customWidth="1"/>
    <col min="5048" max="5048" width="16" customWidth="1"/>
    <col min="5049" max="5049" width="12.28515625" bestFit="1" customWidth="1"/>
    <col min="5050" max="5050" width="17.5703125" customWidth="1"/>
    <col min="5051" max="5051" width="16" customWidth="1"/>
    <col min="5052" max="5052" width="21" customWidth="1"/>
    <col min="5053" max="5053" width="17.5703125" customWidth="1"/>
    <col min="5054" max="5054" width="27" customWidth="1"/>
    <col min="5055" max="5057" width="23.28515625" customWidth="1"/>
    <col min="5058" max="5058" width="15.7109375" customWidth="1"/>
    <col min="5059" max="5059" width="16.42578125" customWidth="1"/>
    <col min="5060" max="5062" width="19.28515625" customWidth="1"/>
    <col min="5063" max="5064" width="5.28515625" bestFit="1" customWidth="1"/>
    <col min="5065" max="5065" width="12.7109375" customWidth="1"/>
    <col min="5066" max="5067" width="19.28515625" customWidth="1"/>
    <col min="5068" max="5070" width="13.5703125" customWidth="1"/>
    <col min="5071" max="5071" width="15.5703125" customWidth="1"/>
    <col min="5072" max="5073" width="14.7109375" customWidth="1"/>
    <col min="5074" max="5075" width="14.28515625" customWidth="1"/>
    <col min="5076" max="5076" width="13.5703125" bestFit="1" customWidth="1"/>
    <col min="5077" max="5077" width="19.5703125" customWidth="1"/>
    <col min="5078" max="5078" width="22" customWidth="1"/>
    <col min="5079" max="5079" width="14.5703125" customWidth="1"/>
    <col min="5080" max="5080" width="15" customWidth="1"/>
    <col min="5081" max="5081" width="12.5703125" bestFit="1" customWidth="1"/>
    <col min="5082" max="5082" width="14.42578125" customWidth="1"/>
    <col min="5083" max="5083" width="19.42578125" bestFit="1" customWidth="1"/>
    <col min="5084" max="5084" width="29.5703125" customWidth="1"/>
    <col min="5085" max="5085" width="8.7109375" bestFit="1" customWidth="1"/>
    <col min="5086" max="5087" width="8.7109375" customWidth="1"/>
    <col min="5088" max="5089" width="16" customWidth="1"/>
    <col min="5090" max="5090" width="17.42578125" customWidth="1"/>
    <col min="5091" max="5091" width="14.5703125" customWidth="1"/>
    <col min="5092" max="5094" width="12.5703125" customWidth="1"/>
    <col min="5095" max="5095" width="14.42578125" customWidth="1"/>
    <col min="5096" max="5096" width="12.5703125" customWidth="1"/>
    <col min="5097" max="5099" width="14.5703125" customWidth="1"/>
    <col min="5100" max="5100" width="12.5703125" customWidth="1"/>
    <col min="5101" max="5101" width="11.42578125" customWidth="1"/>
    <col min="5102" max="5110" width="15.28515625" customWidth="1"/>
    <col min="5111" max="5111" width="13" customWidth="1"/>
    <col min="5112" max="5114" width="14.28515625" customWidth="1"/>
    <col min="5115" max="5115" width="13.42578125" customWidth="1"/>
    <col min="5116" max="5118" width="19.28515625" customWidth="1"/>
    <col min="5119" max="5119" width="26.42578125" customWidth="1"/>
    <col min="5120" max="5120" width="8.5703125" customWidth="1"/>
    <col min="5121" max="5122" width="19.42578125" customWidth="1"/>
    <col min="5123" max="5123" width="17.28515625" customWidth="1"/>
    <col min="5124" max="5124" width="16.5703125" customWidth="1"/>
    <col min="5125" max="5125" width="12.42578125" bestFit="1" customWidth="1"/>
    <col min="5126" max="5132" width="12.42578125" customWidth="1"/>
    <col min="5133" max="5133" width="20.42578125" bestFit="1" customWidth="1"/>
    <col min="5134" max="5134" width="21.7109375" customWidth="1"/>
    <col min="5135" max="5135" width="17" bestFit="1" customWidth="1"/>
    <col min="5136" max="5136" width="19.42578125" bestFit="1" customWidth="1"/>
    <col min="5137" max="5137" width="10.7109375" bestFit="1" customWidth="1"/>
    <col min="5138" max="5138" width="17" customWidth="1"/>
    <col min="5139" max="5140" width="12.42578125" customWidth="1"/>
    <col min="5141" max="5142" width="18.28515625" customWidth="1"/>
    <col min="5143" max="5143" width="9.28515625" bestFit="1" customWidth="1"/>
    <col min="5144" max="5144" width="15.42578125" customWidth="1"/>
    <col min="5145" max="5145" width="8.42578125" bestFit="1" customWidth="1"/>
    <col min="5146" max="5146" width="11.5703125" customWidth="1"/>
    <col min="5147" max="5147" width="8.42578125" customWidth="1"/>
    <col min="5148" max="5148" width="10.42578125" customWidth="1"/>
    <col min="5149" max="5149" width="11.28515625" customWidth="1"/>
    <col min="5150" max="5152" width="10.5703125" customWidth="1"/>
    <col min="5153" max="5153" width="11.28515625" customWidth="1"/>
    <col min="5154" max="5156" width="10.5703125" customWidth="1"/>
    <col min="5289" max="5289" width="12.5703125" bestFit="1" customWidth="1"/>
    <col min="5290" max="5290" width="12.5703125" customWidth="1"/>
    <col min="5291" max="5291" width="13.5703125" bestFit="1" customWidth="1"/>
    <col min="5292" max="5292" width="15" bestFit="1" customWidth="1"/>
    <col min="5293" max="5293" width="15" customWidth="1"/>
    <col min="5294" max="5298" width="18.5703125" customWidth="1"/>
    <col min="5299" max="5300" width="31.42578125" customWidth="1"/>
    <col min="5301" max="5301" width="13.5703125" bestFit="1" customWidth="1"/>
    <col min="5302" max="5302" width="13.5703125" customWidth="1"/>
    <col min="5303" max="5303" width="20.5703125" customWidth="1"/>
    <col min="5304" max="5304" width="16" customWidth="1"/>
    <col min="5305" max="5305" width="12.28515625" bestFit="1" customWidth="1"/>
    <col min="5306" max="5306" width="17.5703125" customWidth="1"/>
    <col min="5307" max="5307" width="16" customWidth="1"/>
    <col min="5308" max="5308" width="21" customWidth="1"/>
    <col min="5309" max="5309" width="17.5703125" customWidth="1"/>
    <col min="5310" max="5310" width="27" customWidth="1"/>
    <col min="5311" max="5313" width="23.28515625" customWidth="1"/>
    <col min="5314" max="5314" width="15.7109375" customWidth="1"/>
    <col min="5315" max="5315" width="16.42578125" customWidth="1"/>
    <col min="5316" max="5318" width="19.28515625" customWidth="1"/>
    <col min="5319" max="5320" width="5.28515625" bestFit="1" customWidth="1"/>
    <col min="5321" max="5321" width="12.7109375" customWidth="1"/>
    <col min="5322" max="5323" width="19.28515625" customWidth="1"/>
    <col min="5324" max="5326" width="13.5703125" customWidth="1"/>
    <col min="5327" max="5327" width="15.5703125" customWidth="1"/>
    <col min="5328" max="5329" width="14.7109375" customWidth="1"/>
    <col min="5330" max="5331" width="14.28515625" customWidth="1"/>
    <col min="5332" max="5332" width="13.5703125" bestFit="1" customWidth="1"/>
    <col min="5333" max="5333" width="19.5703125" customWidth="1"/>
    <col min="5334" max="5334" width="22" customWidth="1"/>
    <col min="5335" max="5335" width="14.5703125" customWidth="1"/>
    <col min="5336" max="5336" width="15" customWidth="1"/>
    <col min="5337" max="5337" width="12.5703125" bestFit="1" customWidth="1"/>
    <col min="5338" max="5338" width="14.42578125" customWidth="1"/>
    <col min="5339" max="5339" width="19.42578125" bestFit="1" customWidth="1"/>
    <col min="5340" max="5340" width="29.5703125" customWidth="1"/>
    <col min="5341" max="5341" width="8.7109375" bestFit="1" customWidth="1"/>
    <col min="5342" max="5343" width="8.7109375" customWidth="1"/>
    <col min="5344" max="5345" width="16" customWidth="1"/>
    <col min="5346" max="5346" width="17.42578125" customWidth="1"/>
    <col min="5347" max="5347" width="14.5703125" customWidth="1"/>
    <col min="5348" max="5350" width="12.5703125" customWidth="1"/>
    <col min="5351" max="5351" width="14.42578125" customWidth="1"/>
    <col min="5352" max="5352" width="12.5703125" customWidth="1"/>
    <col min="5353" max="5355" width="14.5703125" customWidth="1"/>
    <col min="5356" max="5356" width="12.5703125" customWidth="1"/>
    <col min="5357" max="5357" width="11.42578125" customWidth="1"/>
    <col min="5358" max="5366" width="15.28515625" customWidth="1"/>
    <col min="5367" max="5367" width="13" customWidth="1"/>
    <col min="5368" max="5370" width="14.28515625" customWidth="1"/>
    <col min="5371" max="5371" width="13.42578125" customWidth="1"/>
    <col min="5372" max="5374" width="19.28515625" customWidth="1"/>
    <col min="5375" max="5375" width="26.42578125" customWidth="1"/>
    <col min="5376" max="5376" width="8.5703125" customWidth="1"/>
    <col min="5377" max="5378" width="19.42578125" customWidth="1"/>
    <col min="5379" max="5379" width="17.28515625" customWidth="1"/>
    <col min="5380" max="5380" width="16.5703125" customWidth="1"/>
    <col min="5381" max="5381" width="12.42578125" bestFit="1" customWidth="1"/>
    <col min="5382" max="5388" width="12.42578125" customWidth="1"/>
    <col min="5389" max="5389" width="20.42578125" bestFit="1" customWidth="1"/>
    <col min="5390" max="5390" width="21.7109375" customWidth="1"/>
    <col min="5391" max="5391" width="17" bestFit="1" customWidth="1"/>
    <col min="5392" max="5392" width="19.42578125" bestFit="1" customWidth="1"/>
    <col min="5393" max="5393" width="10.7109375" bestFit="1" customWidth="1"/>
    <col min="5394" max="5394" width="17" customWidth="1"/>
    <col min="5395" max="5396" width="12.42578125" customWidth="1"/>
    <col min="5397" max="5398" width="18.28515625" customWidth="1"/>
    <col min="5399" max="5399" width="9.28515625" bestFit="1" customWidth="1"/>
    <col min="5400" max="5400" width="15.42578125" customWidth="1"/>
    <col min="5401" max="5401" width="8.42578125" bestFit="1" customWidth="1"/>
    <col min="5402" max="5402" width="11.5703125" customWidth="1"/>
    <col min="5403" max="5403" width="8.42578125" customWidth="1"/>
    <col min="5404" max="5404" width="10.42578125" customWidth="1"/>
    <col min="5405" max="5405" width="11.28515625" customWidth="1"/>
    <col min="5406" max="5408" width="10.5703125" customWidth="1"/>
    <col min="5409" max="5409" width="11.28515625" customWidth="1"/>
    <col min="5410" max="5412" width="10.5703125" customWidth="1"/>
    <col min="5545" max="5545" width="12.5703125" bestFit="1" customWidth="1"/>
    <col min="5546" max="5546" width="12.5703125" customWidth="1"/>
    <col min="5547" max="5547" width="13.5703125" bestFit="1" customWidth="1"/>
    <col min="5548" max="5548" width="15" bestFit="1" customWidth="1"/>
    <col min="5549" max="5549" width="15" customWidth="1"/>
    <col min="5550" max="5554" width="18.5703125" customWidth="1"/>
    <col min="5555" max="5556" width="31.42578125" customWidth="1"/>
    <col min="5557" max="5557" width="13.5703125" bestFit="1" customWidth="1"/>
    <col min="5558" max="5558" width="13.5703125" customWidth="1"/>
    <col min="5559" max="5559" width="20.5703125" customWidth="1"/>
    <col min="5560" max="5560" width="16" customWidth="1"/>
    <col min="5561" max="5561" width="12.28515625" bestFit="1" customWidth="1"/>
    <col min="5562" max="5562" width="17.5703125" customWidth="1"/>
    <col min="5563" max="5563" width="16" customWidth="1"/>
    <col min="5564" max="5564" width="21" customWidth="1"/>
    <col min="5565" max="5565" width="17.5703125" customWidth="1"/>
    <col min="5566" max="5566" width="27" customWidth="1"/>
    <col min="5567" max="5569" width="23.28515625" customWidth="1"/>
    <col min="5570" max="5570" width="15.7109375" customWidth="1"/>
    <col min="5571" max="5571" width="16.42578125" customWidth="1"/>
    <col min="5572" max="5574" width="19.28515625" customWidth="1"/>
    <col min="5575" max="5576" width="5.28515625" bestFit="1" customWidth="1"/>
    <col min="5577" max="5577" width="12.7109375" customWidth="1"/>
    <col min="5578" max="5579" width="19.28515625" customWidth="1"/>
    <col min="5580" max="5582" width="13.5703125" customWidth="1"/>
    <col min="5583" max="5583" width="15.5703125" customWidth="1"/>
    <col min="5584" max="5585" width="14.7109375" customWidth="1"/>
    <col min="5586" max="5587" width="14.28515625" customWidth="1"/>
    <col min="5588" max="5588" width="13.5703125" bestFit="1" customWidth="1"/>
    <col min="5589" max="5589" width="19.5703125" customWidth="1"/>
    <col min="5590" max="5590" width="22" customWidth="1"/>
    <col min="5591" max="5591" width="14.5703125" customWidth="1"/>
    <col min="5592" max="5592" width="15" customWidth="1"/>
    <col min="5593" max="5593" width="12.5703125" bestFit="1" customWidth="1"/>
    <col min="5594" max="5594" width="14.42578125" customWidth="1"/>
    <col min="5595" max="5595" width="19.42578125" bestFit="1" customWidth="1"/>
    <col min="5596" max="5596" width="29.5703125" customWidth="1"/>
    <col min="5597" max="5597" width="8.7109375" bestFit="1" customWidth="1"/>
    <col min="5598" max="5599" width="8.7109375" customWidth="1"/>
    <col min="5600" max="5601" width="16" customWidth="1"/>
    <col min="5602" max="5602" width="17.42578125" customWidth="1"/>
    <col min="5603" max="5603" width="14.5703125" customWidth="1"/>
    <col min="5604" max="5606" width="12.5703125" customWidth="1"/>
    <col min="5607" max="5607" width="14.42578125" customWidth="1"/>
    <col min="5608" max="5608" width="12.5703125" customWidth="1"/>
    <col min="5609" max="5611" width="14.5703125" customWidth="1"/>
    <col min="5612" max="5612" width="12.5703125" customWidth="1"/>
    <col min="5613" max="5613" width="11.42578125" customWidth="1"/>
    <col min="5614" max="5622" width="15.28515625" customWidth="1"/>
    <col min="5623" max="5623" width="13" customWidth="1"/>
    <col min="5624" max="5626" width="14.28515625" customWidth="1"/>
    <col min="5627" max="5627" width="13.42578125" customWidth="1"/>
    <col min="5628" max="5630" width="19.28515625" customWidth="1"/>
    <col min="5631" max="5631" width="26.42578125" customWidth="1"/>
    <col min="5632" max="5632" width="8.5703125" customWidth="1"/>
    <col min="5633" max="5634" width="19.42578125" customWidth="1"/>
    <col min="5635" max="5635" width="17.28515625" customWidth="1"/>
    <col min="5636" max="5636" width="16.5703125" customWidth="1"/>
    <col min="5637" max="5637" width="12.42578125" bestFit="1" customWidth="1"/>
    <col min="5638" max="5644" width="12.42578125" customWidth="1"/>
    <col min="5645" max="5645" width="20.42578125" bestFit="1" customWidth="1"/>
    <col min="5646" max="5646" width="21.7109375" customWidth="1"/>
    <col min="5647" max="5647" width="17" bestFit="1" customWidth="1"/>
    <col min="5648" max="5648" width="19.42578125" bestFit="1" customWidth="1"/>
    <col min="5649" max="5649" width="10.7109375" bestFit="1" customWidth="1"/>
    <col min="5650" max="5650" width="17" customWidth="1"/>
    <col min="5651" max="5652" width="12.42578125" customWidth="1"/>
    <col min="5653" max="5654" width="18.28515625" customWidth="1"/>
    <col min="5655" max="5655" width="9.28515625" bestFit="1" customWidth="1"/>
    <col min="5656" max="5656" width="15.42578125" customWidth="1"/>
    <col min="5657" max="5657" width="8.42578125" bestFit="1" customWidth="1"/>
    <col min="5658" max="5658" width="11.5703125" customWidth="1"/>
    <col min="5659" max="5659" width="8.42578125" customWidth="1"/>
    <col min="5660" max="5660" width="10.42578125" customWidth="1"/>
    <col min="5661" max="5661" width="11.28515625" customWidth="1"/>
    <col min="5662" max="5664" width="10.5703125" customWidth="1"/>
    <col min="5665" max="5665" width="11.28515625" customWidth="1"/>
    <col min="5666" max="5668" width="10.5703125" customWidth="1"/>
    <col min="5801" max="5801" width="12.5703125" bestFit="1" customWidth="1"/>
    <col min="5802" max="5802" width="12.5703125" customWidth="1"/>
    <col min="5803" max="5803" width="13.5703125" bestFit="1" customWidth="1"/>
    <col min="5804" max="5804" width="15" bestFit="1" customWidth="1"/>
    <col min="5805" max="5805" width="15" customWidth="1"/>
    <col min="5806" max="5810" width="18.5703125" customWidth="1"/>
    <col min="5811" max="5812" width="31.42578125" customWidth="1"/>
    <col min="5813" max="5813" width="13.5703125" bestFit="1" customWidth="1"/>
    <col min="5814" max="5814" width="13.5703125" customWidth="1"/>
    <col min="5815" max="5815" width="20.5703125" customWidth="1"/>
    <col min="5816" max="5816" width="16" customWidth="1"/>
    <col min="5817" max="5817" width="12.28515625" bestFit="1" customWidth="1"/>
    <col min="5818" max="5818" width="17.5703125" customWidth="1"/>
    <col min="5819" max="5819" width="16" customWidth="1"/>
    <col min="5820" max="5820" width="21" customWidth="1"/>
    <col min="5821" max="5821" width="17.5703125" customWidth="1"/>
    <col min="5822" max="5822" width="27" customWidth="1"/>
    <col min="5823" max="5825" width="23.28515625" customWidth="1"/>
    <col min="5826" max="5826" width="15.7109375" customWidth="1"/>
    <col min="5827" max="5827" width="16.42578125" customWidth="1"/>
    <col min="5828" max="5830" width="19.28515625" customWidth="1"/>
    <col min="5831" max="5832" width="5.28515625" bestFit="1" customWidth="1"/>
    <col min="5833" max="5833" width="12.7109375" customWidth="1"/>
    <col min="5834" max="5835" width="19.28515625" customWidth="1"/>
    <col min="5836" max="5838" width="13.5703125" customWidth="1"/>
    <col min="5839" max="5839" width="15.5703125" customWidth="1"/>
    <col min="5840" max="5841" width="14.7109375" customWidth="1"/>
    <col min="5842" max="5843" width="14.28515625" customWidth="1"/>
    <col min="5844" max="5844" width="13.5703125" bestFit="1" customWidth="1"/>
    <col min="5845" max="5845" width="19.5703125" customWidth="1"/>
    <col min="5846" max="5846" width="22" customWidth="1"/>
    <col min="5847" max="5847" width="14.5703125" customWidth="1"/>
    <col min="5848" max="5848" width="15" customWidth="1"/>
    <col min="5849" max="5849" width="12.5703125" bestFit="1" customWidth="1"/>
    <col min="5850" max="5850" width="14.42578125" customWidth="1"/>
    <col min="5851" max="5851" width="19.42578125" bestFit="1" customWidth="1"/>
    <col min="5852" max="5852" width="29.5703125" customWidth="1"/>
    <col min="5853" max="5853" width="8.7109375" bestFit="1" customWidth="1"/>
    <col min="5854" max="5855" width="8.7109375" customWidth="1"/>
    <col min="5856" max="5857" width="16" customWidth="1"/>
    <col min="5858" max="5858" width="17.42578125" customWidth="1"/>
    <col min="5859" max="5859" width="14.5703125" customWidth="1"/>
    <col min="5860" max="5862" width="12.5703125" customWidth="1"/>
    <col min="5863" max="5863" width="14.42578125" customWidth="1"/>
    <col min="5864" max="5864" width="12.5703125" customWidth="1"/>
    <col min="5865" max="5867" width="14.5703125" customWidth="1"/>
    <col min="5868" max="5868" width="12.5703125" customWidth="1"/>
    <col min="5869" max="5869" width="11.42578125" customWidth="1"/>
    <col min="5870" max="5878" width="15.28515625" customWidth="1"/>
    <col min="5879" max="5879" width="13" customWidth="1"/>
    <col min="5880" max="5882" width="14.28515625" customWidth="1"/>
    <col min="5883" max="5883" width="13.42578125" customWidth="1"/>
    <col min="5884" max="5886" width="19.28515625" customWidth="1"/>
    <col min="5887" max="5887" width="26.42578125" customWidth="1"/>
    <col min="5888" max="5888" width="8.5703125" customWidth="1"/>
    <col min="5889" max="5890" width="19.42578125" customWidth="1"/>
    <col min="5891" max="5891" width="17.28515625" customWidth="1"/>
    <col min="5892" max="5892" width="16.5703125" customWidth="1"/>
    <col min="5893" max="5893" width="12.42578125" bestFit="1" customWidth="1"/>
    <col min="5894" max="5900" width="12.42578125" customWidth="1"/>
    <col min="5901" max="5901" width="20.42578125" bestFit="1" customWidth="1"/>
    <col min="5902" max="5902" width="21.7109375" customWidth="1"/>
    <col min="5903" max="5903" width="17" bestFit="1" customWidth="1"/>
    <col min="5904" max="5904" width="19.42578125" bestFit="1" customWidth="1"/>
    <col min="5905" max="5905" width="10.7109375" bestFit="1" customWidth="1"/>
    <col min="5906" max="5906" width="17" customWidth="1"/>
    <col min="5907" max="5908" width="12.42578125" customWidth="1"/>
    <col min="5909" max="5910" width="18.28515625" customWidth="1"/>
    <col min="5911" max="5911" width="9.28515625" bestFit="1" customWidth="1"/>
    <col min="5912" max="5912" width="15.42578125" customWidth="1"/>
    <col min="5913" max="5913" width="8.42578125" bestFit="1" customWidth="1"/>
    <col min="5914" max="5914" width="11.5703125" customWidth="1"/>
    <col min="5915" max="5915" width="8.42578125" customWidth="1"/>
    <col min="5916" max="5916" width="10.42578125" customWidth="1"/>
    <col min="5917" max="5917" width="11.28515625" customWidth="1"/>
    <col min="5918" max="5920" width="10.5703125" customWidth="1"/>
    <col min="5921" max="5921" width="11.28515625" customWidth="1"/>
    <col min="5922" max="5924" width="10.5703125" customWidth="1"/>
    <col min="6057" max="6057" width="12.5703125" bestFit="1" customWidth="1"/>
    <col min="6058" max="6058" width="12.5703125" customWidth="1"/>
    <col min="6059" max="6059" width="13.5703125" bestFit="1" customWidth="1"/>
    <col min="6060" max="6060" width="15" bestFit="1" customWidth="1"/>
    <col min="6061" max="6061" width="15" customWidth="1"/>
    <col min="6062" max="6066" width="18.5703125" customWidth="1"/>
    <col min="6067" max="6068" width="31.42578125" customWidth="1"/>
    <col min="6069" max="6069" width="13.5703125" bestFit="1" customWidth="1"/>
    <col min="6070" max="6070" width="13.5703125" customWidth="1"/>
    <col min="6071" max="6071" width="20.5703125" customWidth="1"/>
    <col min="6072" max="6072" width="16" customWidth="1"/>
    <col min="6073" max="6073" width="12.28515625" bestFit="1" customWidth="1"/>
    <col min="6074" max="6074" width="17.5703125" customWidth="1"/>
    <col min="6075" max="6075" width="16" customWidth="1"/>
    <col min="6076" max="6076" width="21" customWidth="1"/>
    <col min="6077" max="6077" width="17.5703125" customWidth="1"/>
    <col min="6078" max="6078" width="27" customWidth="1"/>
    <col min="6079" max="6081" width="23.28515625" customWidth="1"/>
    <col min="6082" max="6082" width="15.7109375" customWidth="1"/>
    <col min="6083" max="6083" width="16.42578125" customWidth="1"/>
    <col min="6084" max="6086" width="19.28515625" customWidth="1"/>
    <col min="6087" max="6088" width="5.28515625" bestFit="1" customWidth="1"/>
    <col min="6089" max="6089" width="12.7109375" customWidth="1"/>
    <col min="6090" max="6091" width="19.28515625" customWidth="1"/>
    <col min="6092" max="6094" width="13.5703125" customWidth="1"/>
    <col min="6095" max="6095" width="15.5703125" customWidth="1"/>
    <col min="6096" max="6097" width="14.7109375" customWidth="1"/>
    <col min="6098" max="6099" width="14.28515625" customWidth="1"/>
    <col min="6100" max="6100" width="13.5703125" bestFit="1" customWidth="1"/>
    <col min="6101" max="6101" width="19.5703125" customWidth="1"/>
    <col min="6102" max="6102" width="22" customWidth="1"/>
    <col min="6103" max="6103" width="14.5703125" customWidth="1"/>
    <col min="6104" max="6104" width="15" customWidth="1"/>
    <col min="6105" max="6105" width="12.5703125" bestFit="1" customWidth="1"/>
    <col min="6106" max="6106" width="14.42578125" customWidth="1"/>
    <col min="6107" max="6107" width="19.42578125" bestFit="1" customWidth="1"/>
    <col min="6108" max="6108" width="29.5703125" customWidth="1"/>
    <col min="6109" max="6109" width="8.7109375" bestFit="1" customWidth="1"/>
    <col min="6110" max="6111" width="8.7109375" customWidth="1"/>
    <col min="6112" max="6113" width="16" customWidth="1"/>
    <col min="6114" max="6114" width="17.42578125" customWidth="1"/>
    <col min="6115" max="6115" width="14.5703125" customWidth="1"/>
    <col min="6116" max="6118" width="12.5703125" customWidth="1"/>
    <col min="6119" max="6119" width="14.42578125" customWidth="1"/>
    <col min="6120" max="6120" width="12.5703125" customWidth="1"/>
    <col min="6121" max="6123" width="14.5703125" customWidth="1"/>
    <col min="6124" max="6124" width="12.5703125" customWidth="1"/>
    <col min="6125" max="6125" width="11.42578125" customWidth="1"/>
    <col min="6126" max="6134" width="15.28515625" customWidth="1"/>
    <col min="6135" max="6135" width="13" customWidth="1"/>
    <col min="6136" max="6138" width="14.28515625" customWidth="1"/>
    <col min="6139" max="6139" width="13.42578125" customWidth="1"/>
    <col min="6140" max="6142" width="19.28515625" customWidth="1"/>
    <col min="6143" max="6143" width="26.42578125" customWidth="1"/>
    <col min="6144" max="6144" width="8.5703125" customWidth="1"/>
    <col min="6145" max="6146" width="19.42578125" customWidth="1"/>
    <col min="6147" max="6147" width="17.28515625" customWidth="1"/>
    <col min="6148" max="6148" width="16.5703125" customWidth="1"/>
    <col min="6149" max="6149" width="12.42578125" bestFit="1" customWidth="1"/>
    <col min="6150" max="6156" width="12.42578125" customWidth="1"/>
    <col min="6157" max="6157" width="20.42578125" bestFit="1" customWidth="1"/>
    <col min="6158" max="6158" width="21.7109375" customWidth="1"/>
    <col min="6159" max="6159" width="17" bestFit="1" customWidth="1"/>
    <col min="6160" max="6160" width="19.42578125" bestFit="1" customWidth="1"/>
    <col min="6161" max="6161" width="10.7109375" bestFit="1" customWidth="1"/>
    <col min="6162" max="6162" width="17" customWidth="1"/>
    <col min="6163" max="6164" width="12.42578125" customWidth="1"/>
    <col min="6165" max="6166" width="18.28515625" customWidth="1"/>
    <col min="6167" max="6167" width="9.28515625" bestFit="1" customWidth="1"/>
    <col min="6168" max="6168" width="15.42578125" customWidth="1"/>
    <col min="6169" max="6169" width="8.42578125" bestFit="1" customWidth="1"/>
    <col min="6170" max="6170" width="11.5703125" customWidth="1"/>
    <col min="6171" max="6171" width="8.42578125" customWidth="1"/>
    <col min="6172" max="6172" width="10.42578125" customWidth="1"/>
    <col min="6173" max="6173" width="11.28515625" customWidth="1"/>
    <col min="6174" max="6176" width="10.5703125" customWidth="1"/>
    <col min="6177" max="6177" width="11.28515625" customWidth="1"/>
    <col min="6178" max="6180" width="10.5703125" customWidth="1"/>
    <col min="6313" max="6313" width="12.5703125" bestFit="1" customWidth="1"/>
    <col min="6314" max="6314" width="12.5703125" customWidth="1"/>
    <col min="6315" max="6315" width="13.5703125" bestFit="1" customWidth="1"/>
    <col min="6316" max="6316" width="15" bestFit="1" customWidth="1"/>
    <col min="6317" max="6317" width="15" customWidth="1"/>
    <col min="6318" max="6322" width="18.5703125" customWidth="1"/>
    <col min="6323" max="6324" width="31.42578125" customWidth="1"/>
    <col min="6325" max="6325" width="13.5703125" bestFit="1" customWidth="1"/>
    <col min="6326" max="6326" width="13.5703125" customWidth="1"/>
    <col min="6327" max="6327" width="20.5703125" customWidth="1"/>
    <col min="6328" max="6328" width="16" customWidth="1"/>
    <col min="6329" max="6329" width="12.28515625" bestFit="1" customWidth="1"/>
    <col min="6330" max="6330" width="17.5703125" customWidth="1"/>
    <col min="6331" max="6331" width="16" customWidth="1"/>
    <col min="6332" max="6332" width="21" customWidth="1"/>
    <col min="6333" max="6333" width="17.5703125" customWidth="1"/>
    <col min="6334" max="6334" width="27" customWidth="1"/>
    <col min="6335" max="6337" width="23.28515625" customWidth="1"/>
    <col min="6338" max="6338" width="15.7109375" customWidth="1"/>
    <col min="6339" max="6339" width="16.42578125" customWidth="1"/>
    <col min="6340" max="6342" width="19.28515625" customWidth="1"/>
    <col min="6343" max="6344" width="5.28515625" bestFit="1" customWidth="1"/>
    <col min="6345" max="6345" width="12.7109375" customWidth="1"/>
    <col min="6346" max="6347" width="19.28515625" customWidth="1"/>
    <col min="6348" max="6350" width="13.5703125" customWidth="1"/>
    <col min="6351" max="6351" width="15.5703125" customWidth="1"/>
    <col min="6352" max="6353" width="14.7109375" customWidth="1"/>
    <col min="6354" max="6355" width="14.28515625" customWidth="1"/>
    <col min="6356" max="6356" width="13.5703125" bestFit="1" customWidth="1"/>
    <col min="6357" max="6357" width="19.5703125" customWidth="1"/>
    <col min="6358" max="6358" width="22" customWidth="1"/>
    <col min="6359" max="6359" width="14.5703125" customWidth="1"/>
    <col min="6360" max="6360" width="15" customWidth="1"/>
    <col min="6361" max="6361" width="12.5703125" bestFit="1" customWidth="1"/>
    <col min="6362" max="6362" width="14.42578125" customWidth="1"/>
    <col min="6363" max="6363" width="19.42578125" bestFit="1" customWidth="1"/>
    <col min="6364" max="6364" width="29.5703125" customWidth="1"/>
    <col min="6365" max="6365" width="8.7109375" bestFit="1" customWidth="1"/>
    <col min="6366" max="6367" width="8.7109375" customWidth="1"/>
    <col min="6368" max="6369" width="16" customWidth="1"/>
    <col min="6370" max="6370" width="17.42578125" customWidth="1"/>
    <col min="6371" max="6371" width="14.5703125" customWidth="1"/>
    <col min="6372" max="6374" width="12.5703125" customWidth="1"/>
    <col min="6375" max="6375" width="14.42578125" customWidth="1"/>
    <col min="6376" max="6376" width="12.5703125" customWidth="1"/>
    <col min="6377" max="6379" width="14.5703125" customWidth="1"/>
    <col min="6380" max="6380" width="12.5703125" customWidth="1"/>
    <col min="6381" max="6381" width="11.42578125" customWidth="1"/>
    <col min="6382" max="6390" width="15.28515625" customWidth="1"/>
    <col min="6391" max="6391" width="13" customWidth="1"/>
    <col min="6392" max="6394" width="14.28515625" customWidth="1"/>
    <col min="6395" max="6395" width="13.42578125" customWidth="1"/>
    <col min="6396" max="6398" width="19.28515625" customWidth="1"/>
    <col min="6399" max="6399" width="26.42578125" customWidth="1"/>
    <col min="6400" max="6400" width="8.5703125" customWidth="1"/>
    <col min="6401" max="6402" width="19.42578125" customWidth="1"/>
    <col min="6403" max="6403" width="17.28515625" customWidth="1"/>
    <col min="6404" max="6404" width="16.5703125" customWidth="1"/>
    <col min="6405" max="6405" width="12.42578125" bestFit="1" customWidth="1"/>
    <col min="6406" max="6412" width="12.42578125" customWidth="1"/>
    <col min="6413" max="6413" width="20.42578125" bestFit="1" customWidth="1"/>
    <col min="6414" max="6414" width="21.7109375" customWidth="1"/>
    <col min="6415" max="6415" width="17" bestFit="1" customWidth="1"/>
    <col min="6416" max="6416" width="19.42578125" bestFit="1" customWidth="1"/>
    <col min="6417" max="6417" width="10.7109375" bestFit="1" customWidth="1"/>
    <col min="6418" max="6418" width="17" customWidth="1"/>
    <col min="6419" max="6420" width="12.42578125" customWidth="1"/>
    <col min="6421" max="6422" width="18.28515625" customWidth="1"/>
    <col min="6423" max="6423" width="9.28515625" bestFit="1" customWidth="1"/>
    <col min="6424" max="6424" width="15.42578125" customWidth="1"/>
    <col min="6425" max="6425" width="8.42578125" bestFit="1" customWidth="1"/>
    <col min="6426" max="6426" width="11.5703125" customWidth="1"/>
    <col min="6427" max="6427" width="8.42578125" customWidth="1"/>
    <col min="6428" max="6428" width="10.42578125" customWidth="1"/>
    <col min="6429" max="6429" width="11.28515625" customWidth="1"/>
    <col min="6430" max="6432" width="10.5703125" customWidth="1"/>
    <col min="6433" max="6433" width="11.28515625" customWidth="1"/>
    <col min="6434" max="6436" width="10.5703125" customWidth="1"/>
    <col min="6569" max="6569" width="12.5703125" bestFit="1" customWidth="1"/>
    <col min="6570" max="6570" width="12.5703125" customWidth="1"/>
    <col min="6571" max="6571" width="13.5703125" bestFit="1" customWidth="1"/>
    <col min="6572" max="6572" width="15" bestFit="1" customWidth="1"/>
    <col min="6573" max="6573" width="15" customWidth="1"/>
    <col min="6574" max="6578" width="18.5703125" customWidth="1"/>
    <col min="6579" max="6580" width="31.42578125" customWidth="1"/>
    <col min="6581" max="6581" width="13.5703125" bestFit="1" customWidth="1"/>
    <col min="6582" max="6582" width="13.5703125" customWidth="1"/>
    <col min="6583" max="6583" width="20.5703125" customWidth="1"/>
    <col min="6584" max="6584" width="16" customWidth="1"/>
    <col min="6585" max="6585" width="12.28515625" bestFit="1" customWidth="1"/>
    <col min="6586" max="6586" width="17.5703125" customWidth="1"/>
    <col min="6587" max="6587" width="16" customWidth="1"/>
    <col min="6588" max="6588" width="21" customWidth="1"/>
    <col min="6589" max="6589" width="17.5703125" customWidth="1"/>
    <col min="6590" max="6590" width="27" customWidth="1"/>
    <col min="6591" max="6593" width="23.28515625" customWidth="1"/>
    <col min="6594" max="6594" width="15.7109375" customWidth="1"/>
    <col min="6595" max="6595" width="16.42578125" customWidth="1"/>
    <col min="6596" max="6598" width="19.28515625" customWidth="1"/>
    <col min="6599" max="6600" width="5.28515625" bestFit="1" customWidth="1"/>
    <col min="6601" max="6601" width="12.7109375" customWidth="1"/>
    <col min="6602" max="6603" width="19.28515625" customWidth="1"/>
    <col min="6604" max="6606" width="13.5703125" customWidth="1"/>
    <col min="6607" max="6607" width="15.5703125" customWidth="1"/>
    <col min="6608" max="6609" width="14.7109375" customWidth="1"/>
    <col min="6610" max="6611" width="14.28515625" customWidth="1"/>
    <col min="6612" max="6612" width="13.5703125" bestFit="1" customWidth="1"/>
    <col min="6613" max="6613" width="19.5703125" customWidth="1"/>
    <col min="6614" max="6614" width="22" customWidth="1"/>
    <col min="6615" max="6615" width="14.5703125" customWidth="1"/>
    <col min="6616" max="6616" width="15" customWidth="1"/>
    <col min="6617" max="6617" width="12.5703125" bestFit="1" customWidth="1"/>
    <col min="6618" max="6618" width="14.42578125" customWidth="1"/>
    <col min="6619" max="6619" width="19.42578125" bestFit="1" customWidth="1"/>
    <col min="6620" max="6620" width="29.5703125" customWidth="1"/>
    <col min="6621" max="6621" width="8.7109375" bestFit="1" customWidth="1"/>
    <col min="6622" max="6623" width="8.7109375" customWidth="1"/>
    <col min="6624" max="6625" width="16" customWidth="1"/>
    <col min="6626" max="6626" width="17.42578125" customWidth="1"/>
    <col min="6627" max="6627" width="14.5703125" customWidth="1"/>
    <col min="6628" max="6630" width="12.5703125" customWidth="1"/>
    <col min="6631" max="6631" width="14.42578125" customWidth="1"/>
    <col min="6632" max="6632" width="12.5703125" customWidth="1"/>
    <col min="6633" max="6635" width="14.5703125" customWidth="1"/>
    <col min="6636" max="6636" width="12.5703125" customWidth="1"/>
    <col min="6637" max="6637" width="11.42578125" customWidth="1"/>
    <col min="6638" max="6646" width="15.28515625" customWidth="1"/>
    <col min="6647" max="6647" width="13" customWidth="1"/>
    <col min="6648" max="6650" width="14.28515625" customWidth="1"/>
    <col min="6651" max="6651" width="13.42578125" customWidth="1"/>
    <col min="6652" max="6654" width="19.28515625" customWidth="1"/>
    <col min="6655" max="6655" width="26.42578125" customWidth="1"/>
    <col min="6656" max="6656" width="8.5703125" customWidth="1"/>
    <col min="6657" max="6658" width="19.42578125" customWidth="1"/>
    <col min="6659" max="6659" width="17.28515625" customWidth="1"/>
    <col min="6660" max="6660" width="16.5703125" customWidth="1"/>
    <col min="6661" max="6661" width="12.42578125" bestFit="1" customWidth="1"/>
    <col min="6662" max="6668" width="12.42578125" customWidth="1"/>
    <col min="6669" max="6669" width="20.42578125" bestFit="1" customWidth="1"/>
    <col min="6670" max="6670" width="21.7109375" customWidth="1"/>
    <col min="6671" max="6671" width="17" bestFit="1" customWidth="1"/>
    <col min="6672" max="6672" width="19.42578125" bestFit="1" customWidth="1"/>
    <col min="6673" max="6673" width="10.7109375" bestFit="1" customWidth="1"/>
    <col min="6674" max="6674" width="17" customWidth="1"/>
    <col min="6675" max="6676" width="12.42578125" customWidth="1"/>
    <col min="6677" max="6678" width="18.28515625" customWidth="1"/>
    <col min="6679" max="6679" width="9.28515625" bestFit="1" customWidth="1"/>
    <col min="6680" max="6680" width="15.42578125" customWidth="1"/>
    <col min="6681" max="6681" width="8.42578125" bestFit="1" customWidth="1"/>
    <col min="6682" max="6682" width="11.5703125" customWidth="1"/>
    <col min="6683" max="6683" width="8.42578125" customWidth="1"/>
    <col min="6684" max="6684" width="10.42578125" customWidth="1"/>
    <col min="6685" max="6685" width="11.28515625" customWidth="1"/>
    <col min="6686" max="6688" width="10.5703125" customWidth="1"/>
    <col min="6689" max="6689" width="11.28515625" customWidth="1"/>
    <col min="6690" max="6692" width="10.5703125" customWidth="1"/>
    <col min="6825" max="6825" width="12.5703125" bestFit="1" customWidth="1"/>
    <col min="6826" max="6826" width="12.5703125" customWidth="1"/>
    <col min="6827" max="6827" width="13.5703125" bestFit="1" customWidth="1"/>
    <col min="6828" max="6828" width="15" bestFit="1" customWidth="1"/>
    <col min="6829" max="6829" width="15" customWidth="1"/>
    <col min="6830" max="6834" width="18.5703125" customWidth="1"/>
    <col min="6835" max="6836" width="31.42578125" customWidth="1"/>
    <col min="6837" max="6837" width="13.5703125" bestFit="1" customWidth="1"/>
    <col min="6838" max="6838" width="13.5703125" customWidth="1"/>
    <col min="6839" max="6839" width="20.5703125" customWidth="1"/>
    <col min="6840" max="6840" width="16" customWidth="1"/>
    <col min="6841" max="6841" width="12.28515625" bestFit="1" customWidth="1"/>
    <col min="6842" max="6842" width="17.5703125" customWidth="1"/>
    <col min="6843" max="6843" width="16" customWidth="1"/>
    <col min="6844" max="6844" width="21" customWidth="1"/>
    <col min="6845" max="6845" width="17.5703125" customWidth="1"/>
    <col min="6846" max="6846" width="27" customWidth="1"/>
    <col min="6847" max="6849" width="23.28515625" customWidth="1"/>
    <col min="6850" max="6850" width="15.7109375" customWidth="1"/>
    <col min="6851" max="6851" width="16.42578125" customWidth="1"/>
    <col min="6852" max="6854" width="19.28515625" customWidth="1"/>
    <col min="6855" max="6856" width="5.28515625" bestFit="1" customWidth="1"/>
    <col min="6857" max="6857" width="12.7109375" customWidth="1"/>
    <col min="6858" max="6859" width="19.28515625" customWidth="1"/>
    <col min="6860" max="6862" width="13.5703125" customWidth="1"/>
    <col min="6863" max="6863" width="15.5703125" customWidth="1"/>
    <col min="6864" max="6865" width="14.7109375" customWidth="1"/>
    <col min="6866" max="6867" width="14.28515625" customWidth="1"/>
    <col min="6868" max="6868" width="13.5703125" bestFit="1" customWidth="1"/>
    <col min="6869" max="6869" width="19.5703125" customWidth="1"/>
    <col min="6870" max="6870" width="22" customWidth="1"/>
    <col min="6871" max="6871" width="14.5703125" customWidth="1"/>
    <col min="6872" max="6872" width="15" customWidth="1"/>
    <col min="6873" max="6873" width="12.5703125" bestFit="1" customWidth="1"/>
    <col min="6874" max="6874" width="14.42578125" customWidth="1"/>
    <col min="6875" max="6875" width="19.42578125" bestFit="1" customWidth="1"/>
    <col min="6876" max="6876" width="29.5703125" customWidth="1"/>
    <col min="6877" max="6877" width="8.7109375" bestFit="1" customWidth="1"/>
    <col min="6878" max="6879" width="8.7109375" customWidth="1"/>
    <col min="6880" max="6881" width="16" customWidth="1"/>
    <col min="6882" max="6882" width="17.42578125" customWidth="1"/>
    <col min="6883" max="6883" width="14.5703125" customWidth="1"/>
    <col min="6884" max="6886" width="12.5703125" customWidth="1"/>
    <col min="6887" max="6887" width="14.42578125" customWidth="1"/>
    <col min="6888" max="6888" width="12.5703125" customWidth="1"/>
    <col min="6889" max="6891" width="14.5703125" customWidth="1"/>
    <col min="6892" max="6892" width="12.5703125" customWidth="1"/>
    <col min="6893" max="6893" width="11.42578125" customWidth="1"/>
    <col min="6894" max="6902" width="15.28515625" customWidth="1"/>
    <col min="6903" max="6903" width="13" customWidth="1"/>
    <col min="6904" max="6906" width="14.28515625" customWidth="1"/>
    <col min="6907" max="6907" width="13.42578125" customWidth="1"/>
    <col min="6908" max="6910" width="19.28515625" customWidth="1"/>
    <col min="6911" max="6911" width="26.42578125" customWidth="1"/>
    <col min="6912" max="6912" width="8.5703125" customWidth="1"/>
    <col min="6913" max="6914" width="19.42578125" customWidth="1"/>
    <col min="6915" max="6915" width="17.28515625" customWidth="1"/>
    <col min="6916" max="6916" width="16.5703125" customWidth="1"/>
    <col min="6917" max="6917" width="12.42578125" bestFit="1" customWidth="1"/>
    <col min="6918" max="6924" width="12.42578125" customWidth="1"/>
    <col min="6925" max="6925" width="20.42578125" bestFit="1" customWidth="1"/>
    <col min="6926" max="6926" width="21.7109375" customWidth="1"/>
    <col min="6927" max="6927" width="17" bestFit="1" customWidth="1"/>
    <col min="6928" max="6928" width="19.42578125" bestFit="1" customWidth="1"/>
    <col min="6929" max="6929" width="10.7109375" bestFit="1" customWidth="1"/>
    <col min="6930" max="6930" width="17" customWidth="1"/>
    <col min="6931" max="6932" width="12.42578125" customWidth="1"/>
    <col min="6933" max="6934" width="18.28515625" customWidth="1"/>
    <col min="6935" max="6935" width="9.28515625" bestFit="1" customWidth="1"/>
    <col min="6936" max="6936" width="15.42578125" customWidth="1"/>
    <col min="6937" max="6937" width="8.42578125" bestFit="1" customWidth="1"/>
    <col min="6938" max="6938" width="11.5703125" customWidth="1"/>
    <col min="6939" max="6939" width="8.42578125" customWidth="1"/>
    <col min="6940" max="6940" width="10.42578125" customWidth="1"/>
    <col min="6941" max="6941" width="11.28515625" customWidth="1"/>
    <col min="6942" max="6944" width="10.5703125" customWidth="1"/>
    <col min="6945" max="6945" width="11.28515625" customWidth="1"/>
    <col min="6946" max="6948" width="10.5703125" customWidth="1"/>
    <col min="7081" max="7081" width="12.5703125" bestFit="1" customWidth="1"/>
    <col min="7082" max="7082" width="12.5703125" customWidth="1"/>
    <col min="7083" max="7083" width="13.5703125" bestFit="1" customWidth="1"/>
    <col min="7084" max="7084" width="15" bestFit="1" customWidth="1"/>
    <col min="7085" max="7085" width="15" customWidth="1"/>
    <col min="7086" max="7090" width="18.5703125" customWidth="1"/>
    <col min="7091" max="7092" width="31.42578125" customWidth="1"/>
    <col min="7093" max="7093" width="13.5703125" bestFit="1" customWidth="1"/>
    <col min="7094" max="7094" width="13.5703125" customWidth="1"/>
    <col min="7095" max="7095" width="20.5703125" customWidth="1"/>
    <col min="7096" max="7096" width="16" customWidth="1"/>
    <col min="7097" max="7097" width="12.28515625" bestFit="1" customWidth="1"/>
    <col min="7098" max="7098" width="17.5703125" customWidth="1"/>
    <col min="7099" max="7099" width="16" customWidth="1"/>
    <col min="7100" max="7100" width="21" customWidth="1"/>
    <col min="7101" max="7101" width="17.5703125" customWidth="1"/>
    <col min="7102" max="7102" width="27" customWidth="1"/>
    <col min="7103" max="7105" width="23.28515625" customWidth="1"/>
    <col min="7106" max="7106" width="15.7109375" customWidth="1"/>
    <col min="7107" max="7107" width="16.42578125" customWidth="1"/>
    <col min="7108" max="7110" width="19.28515625" customWidth="1"/>
    <col min="7111" max="7112" width="5.28515625" bestFit="1" customWidth="1"/>
    <col min="7113" max="7113" width="12.7109375" customWidth="1"/>
    <col min="7114" max="7115" width="19.28515625" customWidth="1"/>
    <col min="7116" max="7118" width="13.5703125" customWidth="1"/>
    <col min="7119" max="7119" width="15.5703125" customWidth="1"/>
    <col min="7120" max="7121" width="14.7109375" customWidth="1"/>
    <col min="7122" max="7123" width="14.28515625" customWidth="1"/>
    <col min="7124" max="7124" width="13.5703125" bestFit="1" customWidth="1"/>
    <col min="7125" max="7125" width="19.5703125" customWidth="1"/>
    <col min="7126" max="7126" width="22" customWidth="1"/>
    <col min="7127" max="7127" width="14.5703125" customWidth="1"/>
    <col min="7128" max="7128" width="15" customWidth="1"/>
    <col min="7129" max="7129" width="12.5703125" bestFit="1" customWidth="1"/>
    <col min="7130" max="7130" width="14.42578125" customWidth="1"/>
    <col min="7131" max="7131" width="19.42578125" bestFit="1" customWidth="1"/>
    <col min="7132" max="7132" width="29.5703125" customWidth="1"/>
    <col min="7133" max="7133" width="8.7109375" bestFit="1" customWidth="1"/>
    <col min="7134" max="7135" width="8.7109375" customWidth="1"/>
    <col min="7136" max="7137" width="16" customWidth="1"/>
    <col min="7138" max="7138" width="17.42578125" customWidth="1"/>
    <col min="7139" max="7139" width="14.5703125" customWidth="1"/>
    <col min="7140" max="7142" width="12.5703125" customWidth="1"/>
    <col min="7143" max="7143" width="14.42578125" customWidth="1"/>
    <col min="7144" max="7144" width="12.5703125" customWidth="1"/>
    <col min="7145" max="7147" width="14.5703125" customWidth="1"/>
    <col min="7148" max="7148" width="12.5703125" customWidth="1"/>
    <col min="7149" max="7149" width="11.42578125" customWidth="1"/>
    <col min="7150" max="7158" width="15.28515625" customWidth="1"/>
    <col min="7159" max="7159" width="13" customWidth="1"/>
    <col min="7160" max="7162" width="14.28515625" customWidth="1"/>
    <col min="7163" max="7163" width="13.42578125" customWidth="1"/>
    <col min="7164" max="7166" width="19.28515625" customWidth="1"/>
    <col min="7167" max="7167" width="26.42578125" customWidth="1"/>
    <col min="7168" max="7168" width="8.5703125" customWidth="1"/>
    <col min="7169" max="7170" width="19.42578125" customWidth="1"/>
    <col min="7171" max="7171" width="17.28515625" customWidth="1"/>
    <col min="7172" max="7172" width="16.5703125" customWidth="1"/>
    <col min="7173" max="7173" width="12.42578125" bestFit="1" customWidth="1"/>
    <col min="7174" max="7180" width="12.42578125" customWidth="1"/>
    <col min="7181" max="7181" width="20.42578125" bestFit="1" customWidth="1"/>
    <col min="7182" max="7182" width="21.7109375" customWidth="1"/>
    <col min="7183" max="7183" width="17" bestFit="1" customWidth="1"/>
    <col min="7184" max="7184" width="19.42578125" bestFit="1" customWidth="1"/>
    <col min="7185" max="7185" width="10.7109375" bestFit="1" customWidth="1"/>
    <col min="7186" max="7186" width="17" customWidth="1"/>
    <col min="7187" max="7188" width="12.42578125" customWidth="1"/>
    <col min="7189" max="7190" width="18.28515625" customWidth="1"/>
    <col min="7191" max="7191" width="9.28515625" bestFit="1" customWidth="1"/>
    <col min="7192" max="7192" width="15.42578125" customWidth="1"/>
    <col min="7193" max="7193" width="8.42578125" bestFit="1" customWidth="1"/>
    <col min="7194" max="7194" width="11.5703125" customWidth="1"/>
    <col min="7195" max="7195" width="8.42578125" customWidth="1"/>
    <col min="7196" max="7196" width="10.42578125" customWidth="1"/>
    <col min="7197" max="7197" width="11.28515625" customWidth="1"/>
    <col min="7198" max="7200" width="10.5703125" customWidth="1"/>
    <col min="7201" max="7201" width="11.28515625" customWidth="1"/>
    <col min="7202" max="7204" width="10.5703125" customWidth="1"/>
    <col min="7337" max="7337" width="12.5703125" bestFit="1" customWidth="1"/>
    <col min="7338" max="7338" width="12.5703125" customWidth="1"/>
    <col min="7339" max="7339" width="13.5703125" bestFit="1" customWidth="1"/>
    <col min="7340" max="7340" width="15" bestFit="1" customWidth="1"/>
    <col min="7341" max="7341" width="15" customWidth="1"/>
    <col min="7342" max="7346" width="18.5703125" customWidth="1"/>
    <col min="7347" max="7348" width="31.42578125" customWidth="1"/>
    <col min="7349" max="7349" width="13.5703125" bestFit="1" customWidth="1"/>
    <col min="7350" max="7350" width="13.5703125" customWidth="1"/>
    <col min="7351" max="7351" width="20.5703125" customWidth="1"/>
    <col min="7352" max="7352" width="16" customWidth="1"/>
    <col min="7353" max="7353" width="12.28515625" bestFit="1" customWidth="1"/>
    <col min="7354" max="7354" width="17.5703125" customWidth="1"/>
    <col min="7355" max="7355" width="16" customWidth="1"/>
    <col min="7356" max="7356" width="21" customWidth="1"/>
    <col min="7357" max="7357" width="17.5703125" customWidth="1"/>
    <col min="7358" max="7358" width="27" customWidth="1"/>
    <col min="7359" max="7361" width="23.28515625" customWidth="1"/>
    <col min="7362" max="7362" width="15.7109375" customWidth="1"/>
    <col min="7363" max="7363" width="16.42578125" customWidth="1"/>
    <col min="7364" max="7366" width="19.28515625" customWidth="1"/>
    <col min="7367" max="7368" width="5.28515625" bestFit="1" customWidth="1"/>
    <col min="7369" max="7369" width="12.7109375" customWidth="1"/>
    <col min="7370" max="7371" width="19.28515625" customWidth="1"/>
    <col min="7372" max="7374" width="13.5703125" customWidth="1"/>
    <col min="7375" max="7375" width="15.5703125" customWidth="1"/>
    <col min="7376" max="7377" width="14.7109375" customWidth="1"/>
    <col min="7378" max="7379" width="14.28515625" customWidth="1"/>
    <col min="7380" max="7380" width="13.5703125" bestFit="1" customWidth="1"/>
    <col min="7381" max="7381" width="19.5703125" customWidth="1"/>
    <col min="7382" max="7382" width="22" customWidth="1"/>
    <col min="7383" max="7383" width="14.5703125" customWidth="1"/>
    <col min="7384" max="7384" width="15" customWidth="1"/>
    <col min="7385" max="7385" width="12.5703125" bestFit="1" customWidth="1"/>
    <col min="7386" max="7386" width="14.42578125" customWidth="1"/>
    <col min="7387" max="7387" width="19.42578125" bestFit="1" customWidth="1"/>
    <col min="7388" max="7388" width="29.5703125" customWidth="1"/>
    <col min="7389" max="7389" width="8.7109375" bestFit="1" customWidth="1"/>
    <col min="7390" max="7391" width="8.7109375" customWidth="1"/>
    <col min="7392" max="7393" width="16" customWidth="1"/>
    <col min="7394" max="7394" width="17.42578125" customWidth="1"/>
    <col min="7395" max="7395" width="14.5703125" customWidth="1"/>
    <col min="7396" max="7398" width="12.5703125" customWidth="1"/>
    <col min="7399" max="7399" width="14.42578125" customWidth="1"/>
    <col min="7400" max="7400" width="12.5703125" customWidth="1"/>
    <col min="7401" max="7403" width="14.5703125" customWidth="1"/>
    <col min="7404" max="7404" width="12.5703125" customWidth="1"/>
    <col min="7405" max="7405" width="11.42578125" customWidth="1"/>
    <col min="7406" max="7414" width="15.28515625" customWidth="1"/>
    <col min="7415" max="7415" width="13" customWidth="1"/>
    <col min="7416" max="7418" width="14.28515625" customWidth="1"/>
    <col min="7419" max="7419" width="13.42578125" customWidth="1"/>
    <col min="7420" max="7422" width="19.28515625" customWidth="1"/>
    <col min="7423" max="7423" width="26.42578125" customWidth="1"/>
    <col min="7424" max="7424" width="8.5703125" customWidth="1"/>
    <col min="7425" max="7426" width="19.42578125" customWidth="1"/>
    <col min="7427" max="7427" width="17.28515625" customWidth="1"/>
    <col min="7428" max="7428" width="16.5703125" customWidth="1"/>
    <col min="7429" max="7429" width="12.42578125" bestFit="1" customWidth="1"/>
    <col min="7430" max="7436" width="12.42578125" customWidth="1"/>
    <col min="7437" max="7437" width="20.42578125" bestFit="1" customWidth="1"/>
    <col min="7438" max="7438" width="21.7109375" customWidth="1"/>
    <col min="7439" max="7439" width="17" bestFit="1" customWidth="1"/>
    <col min="7440" max="7440" width="19.42578125" bestFit="1" customWidth="1"/>
    <col min="7441" max="7441" width="10.7109375" bestFit="1" customWidth="1"/>
    <col min="7442" max="7442" width="17" customWidth="1"/>
    <col min="7443" max="7444" width="12.42578125" customWidth="1"/>
    <col min="7445" max="7446" width="18.28515625" customWidth="1"/>
    <col min="7447" max="7447" width="9.28515625" bestFit="1" customWidth="1"/>
    <col min="7448" max="7448" width="15.42578125" customWidth="1"/>
    <col min="7449" max="7449" width="8.42578125" bestFit="1" customWidth="1"/>
    <col min="7450" max="7450" width="11.5703125" customWidth="1"/>
    <col min="7451" max="7451" width="8.42578125" customWidth="1"/>
    <col min="7452" max="7452" width="10.42578125" customWidth="1"/>
    <col min="7453" max="7453" width="11.28515625" customWidth="1"/>
    <col min="7454" max="7456" width="10.5703125" customWidth="1"/>
    <col min="7457" max="7457" width="11.28515625" customWidth="1"/>
    <col min="7458" max="7460" width="10.5703125" customWidth="1"/>
    <col min="7593" max="7593" width="12.5703125" bestFit="1" customWidth="1"/>
    <col min="7594" max="7594" width="12.5703125" customWidth="1"/>
    <col min="7595" max="7595" width="13.5703125" bestFit="1" customWidth="1"/>
    <col min="7596" max="7596" width="15" bestFit="1" customWidth="1"/>
    <col min="7597" max="7597" width="15" customWidth="1"/>
    <col min="7598" max="7602" width="18.5703125" customWidth="1"/>
    <col min="7603" max="7604" width="31.42578125" customWidth="1"/>
    <col min="7605" max="7605" width="13.5703125" bestFit="1" customWidth="1"/>
    <col min="7606" max="7606" width="13.5703125" customWidth="1"/>
    <col min="7607" max="7607" width="20.5703125" customWidth="1"/>
    <col min="7608" max="7608" width="16" customWidth="1"/>
    <col min="7609" max="7609" width="12.28515625" bestFit="1" customWidth="1"/>
    <col min="7610" max="7610" width="17.5703125" customWidth="1"/>
    <col min="7611" max="7611" width="16" customWidth="1"/>
    <col min="7612" max="7612" width="21" customWidth="1"/>
    <col min="7613" max="7613" width="17.5703125" customWidth="1"/>
    <col min="7614" max="7614" width="27" customWidth="1"/>
    <col min="7615" max="7617" width="23.28515625" customWidth="1"/>
    <col min="7618" max="7618" width="15.7109375" customWidth="1"/>
    <col min="7619" max="7619" width="16.42578125" customWidth="1"/>
    <col min="7620" max="7622" width="19.28515625" customWidth="1"/>
    <col min="7623" max="7624" width="5.28515625" bestFit="1" customWidth="1"/>
    <col min="7625" max="7625" width="12.7109375" customWidth="1"/>
    <col min="7626" max="7627" width="19.28515625" customWidth="1"/>
    <col min="7628" max="7630" width="13.5703125" customWidth="1"/>
    <col min="7631" max="7631" width="15.5703125" customWidth="1"/>
    <col min="7632" max="7633" width="14.7109375" customWidth="1"/>
    <col min="7634" max="7635" width="14.28515625" customWidth="1"/>
    <col min="7636" max="7636" width="13.5703125" bestFit="1" customWidth="1"/>
    <col min="7637" max="7637" width="19.5703125" customWidth="1"/>
    <col min="7638" max="7638" width="22" customWidth="1"/>
    <col min="7639" max="7639" width="14.5703125" customWidth="1"/>
    <col min="7640" max="7640" width="15" customWidth="1"/>
    <col min="7641" max="7641" width="12.5703125" bestFit="1" customWidth="1"/>
    <col min="7642" max="7642" width="14.42578125" customWidth="1"/>
    <col min="7643" max="7643" width="19.42578125" bestFit="1" customWidth="1"/>
    <col min="7644" max="7644" width="29.5703125" customWidth="1"/>
    <col min="7645" max="7645" width="8.7109375" bestFit="1" customWidth="1"/>
    <col min="7646" max="7647" width="8.7109375" customWidth="1"/>
    <col min="7648" max="7649" width="16" customWidth="1"/>
    <col min="7650" max="7650" width="17.42578125" customWidth="1"/>
    <col min="7651" max="7651" width="14.5703125" customWidth="1"/>
    <col min="7652" max="7654" width="12.5703125" customWidth="1"/>
    <col min="7655" max="7655" width="14.42578125" customWidth="1"/>
    <col min="7656" max="7656" width="12.5703125" customWidth="1"/>
    <col min="7657" max="7659" width="14.5703125" customWidth="1"/>
    <col min="7660" max="7660" width="12.5703125" customWidth="1"/>
    <col min="7661" max="7661" width="11.42578125" customWidth="1"/>
    <col min="7662" max="7670" width="15.28515625" customWidth="1"/>
    <col min="7671" max="7671" width="13" customWidth="1"/>
    <col min="7672" max="7674" width="14.28515625" customWidth="1"/>
    <col min="7675" max="7675" width="13.42578125" customWidth="1"/>
    <col min="7676" max="7678" width="19.28515625" customWidth="1"/>
    <col min="7679" max="7679" width="26.42578125" customWidth="1"/>
    <col min="7680" max="7680" width="8.5703125" customWidth="1"/>
    <col min="7681" max="7682" width="19.42578125" customWidth="1"/>
    <col min="7683" max="7683" width="17.28515625" customWidth="1"/>
    <col min="7684" max="7684" width="16.5703125" customWidth="1"/>
    <col min="7685" max="7685" width="12.42578125" bestFit="1" customWidth="1"/>
    <col min="7686" max="7692" width="12.42578125" customWidth="1"/>
    <col min="7693" max="7693" width="20.42578125" bestFit="1" customWidth="1"/>
    <col min="7694" max="7694" width="21.7109375" customWidth="1"/>
    <col min="7695" max="7695" width="17" bestFit="1" customWidth="1"/>
    <col min="7696" max="7696" width="19.42578125" bestFit="1" customWidth="1"/>
    <col min="7697" max="7697" width="10.7109375" bestFit="1" customWidth="1"/>
    <col min="7698" max="7698" width="17" customWidth="1"/>
    <col min="7699" max="7700" width="12.42578125" customWidth="1"/>
    <col min="7701" max="7702" width="18.28515625" customWidth="1"/>
    <col min="7703" max="7703" width="9.28515625" bestFit="1" customWidth="1"/>
    <col min="7704" max="7704" width="15.42578125" customWidth="1"/>
    <col min="7705" max="7705" width="8.42578125" bestFit="1" customWidth="1"/>
    <col min="7706" max="7706" width="11.5703125" customWidth="1"/>
    <col min="7707" max="7707" width="8.42578125" customWidth="1"/>
    <col min="7708" max="7708" width="10.42578125" customWidth="1"/>
    <col min="7709" max="7709" width="11.28515625" customWidth="1"/>
    <col min="7710" max="7712" width="10.5703125" customWidth="1"/>
    <col min="7713" max="7713" width="11.28515625" customWidth="1"/>
    <col min="7714" max="7716" width="10.5703125" customWidth="1"/>
    <col min="7849" max="7849" width="12.5703125" bestFit="1" customWidth="1"/>
    <col min="7850" max="7850" width="12.5703125" customWidth="1"/>
    <col min="7851" max="7851" width="13.5703125" bestFit="1" customWidth="1"/>
    <col min="7852" max="7852" width="15" bestFit="1" customWidth="1"/>
    <col min="7853" max="7853" width="15" customWidth="1"/>
    <col min="7854" max="7858" width="18.5703125" customWidth="1"/>
    <col min="7859" max="7860" width="31.42578125" customWidth="1"/>
    <col min="7861" max="7861" width="13.5703125" bestFit="1" customWidth="1"/>
    <col min="7862" max="7862" width="13.5703125" customWidth="1"/>
    <col min="7863" max="7863" width="20.5703125" customWidth="1"/>
    <col min="7864" max="7864" width="16" customWidth="1"/>
    <col min="7865" max="7865" width="12.28515625" bestFit="1" customWidth="1"/>
    <col min="7866" max="7866" width="17.5703125" customWidth="1"/>
    <col min="7867" max="7867" width="16" customWidth="1"/>
    <col min="7868" max="7868" width="21" customWidth="1"/>
    <col min="7869" max="7869" width="17.5703125" customWidth="1"/>
    <col min="7870" max="7870" width="27" customWidth="1"/>
    <col min="7871" max="7873" width="23.28515625" customWidth="1"/>
    <col min="7874" max="7874" width="15.7109375" customWidth="1"/>
    <col min="7875" max="7875" width="16.42578125" customWidth="1"/>
    <col min="7876" max="7878" width="19.28515625" customWidth="1"/>
    <col min="7879" max="7880" width="5.28515625" bestFit="1" customWidth="1"/>
    <col min="7881" max="7881" width="12.7109375" customWidth="1"/>
    <col min="7882" max="7883" width="19.28515625" customWidth="1"/>
    <col min="7884" max="7886" width="13.5703125" customWidth="1"/>
    <col min="7887" max="7887" width="15.5703125" customWidth="1"/>
    <col min="7888" max="7889" width="14.7109375" customWidth="1"/>
    <col min="7890" max="7891" width="14.28515625" customWidth="1"/>
    <col min="7892" max="7892" width="13.5703125" bestFit="1" customWidth="1"/>
    <col min="7893" max="7893" width="19.5703125" customWidth="1"/>
    <col min="7894" max="7894" width="22" customWidth="1"/>
    <col min="7895" max="7895" width="14.5703125" customWidth="1"/>
    <col min="7896" max="7896" width="15" customWidth="1"/>
    <col min="7897" max="7897" width="12.5703125" bestFit="1" customWidth="1"/>
    <col min="7898" max="7898" width="14.42578125" customWidth="1"/>
    <col min="7899" max="7899" width="19.42578125" bestFit="1" customWidth="1"/>
    <col min="7900" max="7900" width="29.5703125" customWidth="1"/>
    <col min="7901" max="7901" width="8.7109375" bestFit="1" customWidth="1"/>
    <col min="7902" max="7903" width="8.7109375" customWidth="1"/>
    <col min="7904" max="7905" width="16" customWidth="1"/>
    <col min="7906" max="7906" width="17.42578125" customWidth="1"/>
    <col min="7907" max="7907" width="14.5703125" customWidth="1"/>
    <col min="7908" max="7910" width="12.5703125" customWidth="1"/>
    <col min="7911" max="7911" width="14.42578125" customWidth="1"/>
    <col min="7912" max="7912" width="12.5703125" customWidth="1"/>
    <col min="7913" max="7915" width="14.5703125" customWidth="1"/>
    <col min="7916" max="7916" width="12.5703125" customWidth="1"/>
    <col min="7917" max="7917" width="11.42578125" customWidth="1"/>
    <col min="7918" max="7926" width="15.28515625" customWidth="1"/>
    <col min="7927" max="7927" width="13" customWidth="1"/>
    <col min="7928" max="7930" width="14.28515625" customWidth="1"/>
    <col min="7931" max="7931" width="13.42578125" customWidth="1"/>
    <col min="7932" max="7934" width="19.28515625" customWidth="1"/>
    <col min="7935" max="7935" width="26.42578125" customWidth="1"/>
    <col min="7936" max="7936" width="8.5703125" customWidth="1"/>
    <col min="7937" max="7938" width="19.42578125" customWidth="1"/>
    <col min="7939" max="7939" width="17.28515625" customWidth="1"/>
    <col min="7940" max="7940" width="16.5703125" customWidth="1"/>
    <col min="7941" max="7941" width="12.42578125" bestFit="1" customWidth="1"/>
    <col min="7942" max="7948" width="12.42578125" customWidth="1"/>
    <col min="7949" max="7949" width="20.42578125" bestFit="1" customWidth="1"/>
    <col min="7950" max="7950" width="21.7109375" customWidth="1"/>
    <col min="7951" max="7951" width="17" bestFit="1" customWidth="1"/>
    <col min="7952" max="7952" width="19.42578125" bestFit="1" customWidth="1"/>
    <col min="7953" max="7953" width="10.7109375" bestFit="1" customWidth="1"/>
    <col min="7954" max="7954" width="17" customWidth="1"/>
    <col min="7955" max="7956" width="12.42578125" customWidth="1"/>
    <col min="7957" max="7958" width="18.28515625" customWidth="1"/>
    <col min="7959" max="7959" width="9.28515625" bestFit="1" customWidth="1"/>
    <col min="7960" max="7960" width="15.42578125" customWidth="1"/>
    <col min="7961" max="7961" width="8.42578125" bestFit="1" customWidth="1"/>
    <col min="7962" max="7962" width="11.5703125" customWidth="1"/>
    <col min="7963" max="7963" width="8.42578125" customWidth="1"/>
    <col min="7964" max="7964" width="10.42578125" customWidth="1"/>
    <col min="7965" max="7965" width="11.28515625" customWidth="1"/>
    <col min="7966" max="7968" width="10.5703125" customWidth="1"/>
    <col min="7969" max="7969" width="11.28515625" customWidth="1"/>
    <col min="7970" max="7972" width="10.5703125" customWidth="1"/>
    <col min="8105" max="8105" width="12.5703125" bestFit="1" customWidth="1"/>
    <col min="8106" max="8106" width="12.5703125" customWidth="1"/>
    <col min="8107" max="8107" width="13.5703125" bestFit="1" customWidth="1"/>
    <col min="8108" max="8108" width="15" bestFit="1" customWidth="1"/>
    <col min="8109" max="8109" width="15" customWidth="1"/>
    <col min="8110" max="8114" width="18.5703125" customWidth="1"/>
    <col min="8115" max="8116" width="31.42578125" customWidth="1"/>
    <col min="8117" max="8117" width="13.5703125" bestFit="1" customWidth="1"/>
    <col min="8118" max="8118" width="13.5703125" customWidth="1"/>
    <col min="8119" max="8119" width="20.5703125" customWidth="1"/>
    <col min="8120" max="8120" width="16" customWidth="1"/>
    <col min="8121" max="8121" width="12.28515625" bestFit="1" customWidth="1"/>
    <col min="8122" max="8122" width="17.5703125" customWidth="1"/>
    <col min="8123" max="8123" width="16" customWidth="1"/>
    <col min="8124" max="8124" width="21" customWidth="1"/>
    <col min="8125" max="8125" width="17.5703125" customWidth="1"/>
    <col min="8126" max="8126" width="27" customWidth="1"/>
    <col min="8127" max="8129" width="23.28515625" customWidth="1"/>
    <col min="8130" max="8130" width="15.7109375" customWidth="1"/>
    <col min="8131" max="8131" width="16.42578125" customWidth="1"/>
    <col min="8132" max="8134" width="19.28515625" customWidth="1"/>
    <col min="8135" max="8136" width="5.28515625" bestFit="1" customWidth="1"/>
    <col min="8137" max="8137" width="12.7109375" customWidth="1"/>
    <col min="8138" max="8139" width="19.28515625" customWidth="1"/>
    <col min="8140" max="8142" width="13.5703125" customWidth="1"/>
    <col min="8143" max="8143" width="15.5703125" customWidth="1"/>
    <col min="8144" max="8145" width="14.7109375" customWidth="1"/>
    <col min="8146" max="8147" width="14.28515625" customWidth="1"/>
    <col min="8148" max="8148" width="13.5703125" bestFit="1" customWidth="1"/>
    <col min="8149" max="8149" width="19.5703125" customWidth="1"/>
    <col min="8150" max="8150" width="22" customWidth="1"/>
    <col min="8151" max="8151" width="14.5703125" customWidth="1"/>
    <col min="8152" max="8152" width="15" customWidth="1"/>
    <col min="8153" max="8153" width="12.5703125" bestFit="1" customWidth="1"/>
    <col min="8154" max="8154" width="14.42578125" customWidth="1"/>
    <col min="8155" max="8155" width="19.42578125" bestFit="1" customWidth="1"/>
    <col min="8156" max="8156" width="29.5703125" customWidth="1"/>
    <col min="8157" max="8157" width="8.7109375" bestFit="1" customWidth="1"/>
    <col min="8158" max="8159" width="8.7109375" customWidth="1"/>
    <col min="8160" max="8161" width="16" customWidth="1"/>
    <col min="8162" max="8162" width="17.42578125" customWidth="1"/>
    <col min="8163" max="8163" width="14.5703125" customWidth="1"/>
    <col min="8164" max="8166" width="12.5703125" customWidth="1"/>
    <col min="8167" max="8167" width="14.42578125" customWidth="1"/>
    <col min="8168" max="8168" width="12.5703125" customWidth="1"/>
    <col min="8169" max="8171" width="14.5703125" customWidth="1"/>
    <col min="8172" max="8172" width="12.5703125" customWidth="1"/>
    <col min="8173" max="8173" width="11.42578125" customWidth="1"/>
    <col min="8174" max="8182" width="15.28515625" customWidth="1"/>
    <col min="8183" max="8183" width="13" customWidth="1"/>
    <col min="8184" max="8186" width="14.28515625" customWidth="1"/>
    <col min="8187" max="8187" width="13.42578125" customWidth="1"/>
    <col min="8188" max="8190" width="19.28515625" customWidth="1"/>
    <col min="8191" max="8191" width="26.42578125" customWidth="1"/>
    <col min="8192" max="8192" width="8.5703125" customWidth="1"/>
    <col min="8193" max="8194" width="19.42578125" customWidth="1"/>
    <col min="8195" max="8195" width="17.28515625" customWidth="1"/>
    <col min="8196" max="8196" width="16.5703125" customWidth="1"/>
    <col min="8197" max="8197" width="12.42578125" bestFit="1" customWidth="1"/>
    <col min="8198" max="8204" width="12.42578125" customWidth="1"/>
    <col min="8205" max="8205" width="20.42578125" bestFit="1" customWidth="1"/>
    <col min="8206" max="8206" width="21.7109375" customWidth="1"/>
    <col min="8207" max="8207" width="17" bestFit="1" customWidth="1"/>
    <col min="8208" max="8208" width="19.42578125" bestFit="1" customWidth="1"/>
    <col min="8209" max="8209" width="10.7109375" bestFit="1" customWidth="1"/>
    <col min="8210" max="8210" width="17" customWidth="1"/>
    <col min="8211" max="8212" width="12.42578125" customWidth="1"/>
    <col min="8213" max="8214" width="18.28515625" customWidth="1"/>
    <col min="8215" max="8215" width="9.28515625" bestFit="1" customWidth="1"/>
    <col min="8216" max="8216" width="15.42578125" customWidth="1"/>
    <col min="8217" max="8217" width="8.42578125" bestFit="1" customWidth="1"/>
    <col min="8218" max="8218" width="11.5703125" customWidth="1"/>
    <col min="8219" max="8219" width="8.42578125" customWidth="1"/>
    <col min="8220" max="8220" width="10.42578125" customWidth="1"/>
    <col min="8221" max="8221" width="11.28515625" customWidth="1"/>
    <col min="8222" max="8224" width="10.5703125" customWidth="1"/>
    <col min="8225" max="8225" width="11.28515625" customWidth="1"/>
    <col min="8226" max="8228" width="10.5703125" customWidth="1"/>
    <col min="8361" max="8361" width="12.5703125" bestFit="1" customWidth="1"/>
    <col min="8362" max="8362" width="12.5703125" customWidth="1"/>
    <col min="8363" max="8363" width="13.5703125" bestFit="1" customWidth="1"/>
    <col min="8364" max="8364" width="15" bestFit="1" customWidth="1"/>
    <col min="8365" max="8365" width="15" customWidth="1"/>
    <col min="8366" max="8370" width="18.5703125" customWidth="1"/>
    <col min="8371" max="8372" width="31.42578125" customWidth="1"/>
    <col min="8373" max="8373" width="13.5703125" bestFit="1" customWidth="1"/>
    <col min="8374" max="8374" width="13.5703125" customWidth="1"/>
    <col min="8375" max="8375" width="20.5703125" customWidth="1"/>
    <col min="8376" max="8376" width="16" customWidth="1"/>
    <col min="8377" max="8377" width="12.28515625" bestFit="1" customWidth="1"/>
    <col min="8378" max="8378" width="17.5703125" customWidth="1"/>
    <col min="8379" max="8379" width="16" customWidth="1"/>
    <col min="8380" max="8380" width="21" customWidth="1"/>
    <col min="8381" max="8381" width="17.5703125" customWidth="1"/>
    <col min="8382" max="8382" width="27" customWidth="1"/>
    <col min="8383" max="8385" width="23.28515625" customWidth="1"/>
    <col min="8386" max="8386" width="15.7109375" customWidth="1"/>
    <col min="8387" max="8387" width="16.42578125" customWidth="1"/>
    <col min="8388" max="8390" width="19.28515625" customWidth="1"/>
    <col min="8391" max="8392" width="5.28515625" bestFit="1" customWidth="1"/>
    <col min="8393" max="8393" width="12.7109375" customWidth="1"/>
    <col min="8394" max="8395" width="19.28515625" customWidth="1"/>
    <col min="8396" max="8398" width="13.5703125" customWidth="1"/>
    <col min="8399" max="8399" width="15.5703125" customWidth="1"/>
    <col min="8400" max="8401" width="14.7109375" customWidth="1"/>
    <col min="8402" max="8403" width="14.28515625" customWidth="1"/>
    <col min="8404" max="8404" width="13.5703125" bestFit="1" customWidth="1"/>
    <col min="8405" max="8405" width="19.5703125" customWidth="1"/>
    <col min="8406" max="8406" width="22" customWidth="1"/>
    <col min="8407" max="8407" width="14.5703125" customWidth="1"/>
    <col min="8408" max="8408" width="15" customWidth="1"/>
    <col min="8409" max="8409" width="12.5703125" bestFit="1" customWidth="1"/>
    <col min="8410" max="8410" width="14.42578125" customWidth="1"/>
    <col min="8411" max="8411" width="19.42578125" bestFit="1" customWidth="1"/>
    <col min="8412" max="8412" width="29.5703125" customWidth="1"/>
    <col min="8413" max="8413" width="8.7109375" bestFit="1" customWidth="1"/>
    <col min="8414" max="8415" width="8.7109375" customWidth="1"/>
    <col min="8416" max="8417" width="16" customWidth="1"/>
    <col min="8418" max="8418" width="17.42578125" customWidth="1"/>
    <col min="8419" max="8419" width="14.5703125" customWidth="1"/>
    <col min="8420" max="8422" width="12.5703125" customWidth="1"/>
    <col min="8423" max="8423" width="14.42578125" customWidth="1"/>
    <col min="8424" max="8424" width="12.5703125" customWidth="1"/>
    <col min="8425" max="8427" width="14.5703125" customWidth="1"/>
    <col min="8428" max="8428" width="12.5703125" customWidth="1"/>
    <col min="8429" max="8429" width="11.42578125" customWidth="1"/>
    <col min="8430" max="8438" width="15.28515625" customWidth="1"/>
    <col min="8439" max="8439" width="13" customWidth="1"/>
    <col min="8440" max="8442" width="14.28515625" customWidth="1"/>
    <col min="8443" max="8443" width="13.42578125" customWidth="1"/>
    <col min="8444" max="8446" width="19.28515625" customWidth="1"/>
    <col min="8447" max="8447" width="26.42578125" customWidth="1"/>
    <col min="8448" max="8448" width="8.5703125" customWidth="1"/>
    <col min="8449" max="8450" width="19.42578125" customWidth="1"/>
    <col min="8451" max="8451" width="17.28515625" customWidth="1"/>
    <col min="8452" max="8452" width="16.5703125" customWidth="1"/>
    <col min="8453" max="8453" width="12.42578125" bestFit="1" customWidth="1"/>
    <col min="8454" max="8460" width="12.42578125" customWidth="1"/>
    <col min="8461" max="8461" width="20.42578125" bestFit="1" customWidth="1"/>
    <col min="8462" max="8462" width="21.7109375" customWidth="1"/>
    <col min="8463" max="8463" width="17" bestFit="1" customWidth="1"/>
    <col min="8464" max="8464" width="19.42578125" bestFit="1" customWidth="1"/>
    <col min="8465" max="8465" width="10.7109375" bestFit="1" customWidth="1"/>
    <col min="8466" max="8466" width="17" customWidth="1"/>
    <col min="8467" max="8468" width="12.42578125" customWidth="1"/>
    <col min="8469" max="8470" width="18.28515625" customWidth="1"/>
    <col min="8471" max="8471" width="9.28515625" bestFit="1" customWidth="1"/>
    <col min="8472" max="8472" width="15.42578125" customWidth="1"/>
    <col min="8473" max="8473" width="8.42578125" bestFit="1" customWidth="1"/>
    <col min="8474" max="8474" width="11.5703125" customWidth="1"/>
    <col min="8475" max="8475" width="8.42578125" customWidth="1"/>
    <col min="8476" max="8476" width="10.42578125" customWidth="1"/>
    <col min="8477" max="8477" width="11.28515625" customWidth="1"/>
    <col min="8478" max="8480" width="10.5703125" customWidth="1"/>
    <col min="8481" max="8481" width="11.28515625" customWidth="1"/>
    <col min="8482" max="8484" width="10.5703125" customWidth="1"/>
    <col min="8617" max="8617" width="12.5703125" bestFit="1" customWidth="1"/>
    <col min="8618" max="8618" width="12.5703125" customWidth="1"/>
    <col min="8619" max="8619" width="13.5703125" bestFit="1" customWidth="1"/>
    <col min="8620" max="8620" width="15" bestFit="1" customWidth="1"/>
    <col min="8621" max="8621" width="15" customWidth="1"/>
    <col min="8622" max="8626" width="18.5703125" customWidth="1"/>
    <col min="8627" max="8628" width="31.42578125" customWidth="1"/>
    <col min="8629" max="8629" width="13.5703125" bestFit="1" customWidth="1"/>
    <col min="8630" max="8630" width="13.5703125" customWidth="1"/>
    <col min="8631" max="8631" width="20.5703125" customWidth="1"/>
    <col min="8632" max="8632" width="16" customWidth="1"/>
    <col min="8633" max="8633" width="12.28515625" bestFit="1" customWidth="1"/>
    <col min="8634" max="8634" width="17.5703125" customWidth="1"/>
    <col min="8635" max="8635" width="16" customWidth="1"/>
    <col min="8636" max="8636" width="21" customWidth="1"/>
    <col min="8637" max="8637" width="17.5703125" customWidth="1"/>
    <col min="8638" max="8638" width="27" customWidth="1"/>
    <col min="8639" max="8641" width="23.28515625" customWidth="1"/>
    <col min="8642" max="8642" width="15.7109375" customWidth="1"/>
    <col min="8643" max="8643" width="16.42578125" customWidth="1"/>
    <col min="8644" max="8646" width="19.28515625" customWidth="1"/>
    <col min="8647" max="8648" width="5.28515625" bestFit="1" customWidth="1"/>
    <col min="8649" max="8649" width="12.7109375" customWidth="1"/>
    <col min="8650" max="8651" width="19.28515625" customWidth="1"/>
    <col min="8652" max="8654" width="13.5703125" customWidth="1"/>
    <col min="8655" max="8655" width="15.5703125" customWidth="1"/>
    <col min="8656" max="8657" width="14.7109375" customWidth="1"/>
    <col min="8658" max="8659" width="14.28515625" customWidth="1"/>
    <col min="8660" max="8660" width="13.5703125" bestFit="1" customWidth="1"/>
    <col min="8661" max="8661" width="19.5703125" customWidth="1"/>
    <col min="8662" max="8662" width="22" customWidth="1"/>
    <col min="8663" max="8663" width="14.5703125" customWidth="1"/>
    <col min="8664" max="8664" width="15" customWidth="1"/>
    <col min="8665" max="8665" width="12.5703125" bestFit="1" customWidth="1"/>
    <col min="8666" max="8666" width="14.42578125" customWidth="1"/>
    <col min="8667" max="8667" width="19.42578125" bestFit="1" customWidth="1"/>
    <col min="8668" max="8668" width="29.5703125" customWidth="1"/>
    <col min="8669" max="8669" width="8.7109375" bestFit="1" customWidth="1"/>
    <col min="8670" max="8671" width="8.7109375" customWidth="1"/>
    <col min="8672" max="8673" width="16" customWidth="1"/>
    <col min="8674" max="8674" width="17.42578125" customWidth="1"/>
    <col min="8675" max="8675" width="14.5703125" customWidth="1"/>
    <col min="8676" max="8678" width="12.5703125" customWidth="1"/>
    <col min="8679" max="8679" width="14.42578125" customWidth="1"/>
    <col min="8680" max="8680" width="12.5703125" customWidth="1"/>
    <col min="8681" max="8683" width="14.5703125" customWidth="1"/>
    <col min="8684" max="8684" width="12.5703125" customWidth="1"/>
    <col min="8685" max="8685" width="11.42578125" customWidth="1"/>
    <col min="8686" max="8694" width="15.28515625" customWidth="1"/>
    <col min="8695" max="8695" width="13" customWidth="1"/>
    <col min="8696" max="8698" width="14.28515625" customWidth="1"/>
    <col min="8699" max="8699" width="13.42578125" customWidth="1"/>
    <col min="8700" max="8702" width="19.28515625" customWidth="1"/>
    <col min="8703" max="8703" width="26.42578125" customWidth="1"/>
    <col min="8704" max="8704" width="8.5703125" customWidth="1"/>
    <col min="8705" max="8706" width="19.42578125" customWidth="1"/>
    <col min="8707" max="8707" width="17.28515625" customWidth="1"/>
    <col min="8708" max="8708" width="16.5703125" customWidth="1"/>
    <col min="8709" max="8709" width="12.42578125" bestFit="1" customWidth="1"/>
    <col min="8710" max="8716" width="12.42578125" customWidth="1"/>
    <col min="8717" max="8717" width="20.42578125" bestFit="1" customWidth="1"/>
    <col min="8718" max="8718" width="21.7109375" customWidth="1"/>
    <col min="8719" max="8719" width="17" bestFit="1" customWidth="1"/>
    <col min="8720" max="8720" width="19.42578125" bestFit="1" customWidth="1"/>
    <col min="8721" max="8721" width="10.7109375" bestFit="1" customWidth="1"/>
    <col min="8722" max="8722" width="17" customWidth="1"/>
    <col min="8723" max="8724" width="12.42578125" customWidth="1"/>
    <col min="8725" max="8726" width="18.28515625" customWidth="1"/>
    <col min="8727" max="8727" width="9.28515625" bestFit="1" customWidth="1"/>
    <col min="8728" max="8728" width="15.42578125" customWidth="1"/>
    <col min="8729" max="8729" width="8.42578125" bestFit="1" customWidth="1"/>
    <col min="8730" max="8730" width="11.5703125" customWidth="1"/>
    <col min="8731" max="8731" width="8.42578125" customWidth="1"/>
    <col min="8732" max="8732" width="10.42578125" customWidth="1"/>
    <col min="8733" max="8733" width="11.28515625" customWidth="1"/>
    <col min="8734" max="8736" width="10.5703125" customWidth="1"/>
    <col min="8737" max="8737" width="11.28515625" customWidth="1"/>
    <col min="8738" max="8740" width="10.5703125" customWidth="1"/>
    <col min="8873" max="8873" width="12.5703125" bestFit="1" customWidth="1"/>
    <col min="8874" max="8874" width="12.5703125" customWidth="1"/>
    <col min="8875" max="8875" width="13.5703125" bestFit="1" customWidth="1"/>
    <col min="8876" max="8876" width="15" bestFit="1" customWidth="1"/>
    <col min="8877" max="8877" width="15" customWidth="1"/>
    <col min="8878" max="8882" width="18.5703125" customWidth="1"/>
    <col min="8883" max="8884" width="31.42578125" customWidth="1"/>
    <col min="8885" max="8885" width="13.5703125" bestFit="1" customWidth="1"/>
    <col min="8886" max="8886" width="13.5703125" customWidth="1"/>
    <col min="8887" max="8887" width="20.5703125" customWidth="1"/>
    <col min="8888" max="8888" width="16" customWidth="1"/>
    <col min="8889" max="8889" width="12.28515625" bestFit="1" customWidth="1"/>
    <col min="8890" max="8890" width="17.5703125" customWidth="1"/>
    <col min="8891" max="8891" width="16" customWidth="1"/>
    <col min="8892" max="8892" width="21" customWidth="1"/>
    <col min="8893" max="8893" width="17.5703125" customWidth="1"/>
    <col min="8894" max="8894" width="27" customWidth="1"/>
    <col min="8895" max="8897" width="23.28515625" customWidth="1"/>
    <col min="8898" max="8898" width="15.7109375" customWidth="1"/>
    <col min="8899" max="8899" width="16.42578125" customWidth="1"/>
    <col min="8900" max="8902" width="19.28515625" customWidth="1"/>
    <col min="8903" max="8904" width="5.28515625" bestFit="1" customWidth="1"/>
    <col min="8905" max="8905" width="12.7109375" customWidth="1"/>
    <col min="8906" max="8907" width="19.28515625" customWidth="1"/>
    <col min="8908" max="8910" width="13.5703125" customWidth="1"/>
    <col min="8911" max="8911" width="15.5703125" customWidth="1"/>
    <col min="8912" max="8913" width="14.7109375" customWidth="1"/>
    <col min="8914" max="8915" width="14.28515625" customWidth="1"/>
    <col min="8916" max="8916" width="13.5703125" bestFit="1" customWidth="1"/>
    <col min="8917" max="8917" width="19.5703125" customWidth="1"/>
    <col min="8918" max="8918" width="22" customWidth="1"/>
    <col min="8919" max="8919" width="14.5703125" customWidth="1"/>
    <col min="8920" max="8920" width="15" customWidth="1"/>
    <col min="8921" max="8921" width="12.5703125" bestFit="1" customWidth="1"/>
    <col min="8922" max="8922" width="14.42578125" customWidth="1"/>
    <col min="8923" max="8923" width="19.42578125" bestFit="1" customWidth="1"/>
    <col min="8924" max="8924" width="29.5703125" customWidth="1"/>
    <col min="8925" max="8925" width="8.7109375" bestFit="1" customWidth="1"/>
    <col min="8926" max="8927" width="8.7109375" customWidth="1"/>
    <col min="8928" max="8929" width="16" customWidth="1"/>
    <col min="8930" max="8930" width="17.42578125" customWidth="1"/>
    <col min="8931" max="8931" width="14.5703125" customWidth="1"/>
    <col min="8932" max="8934" width="12.5703125" customWidth="1"/>
    <col min="8935" max="8935" width="14.42578125" customWidth="1"/>
    <col min="8936" max="8936" width="12.5703125" customWidth="1"/>
    <col min="8937" max="8939" width="14.5703125" customWidth="1"/>
    <col min="8940" max="8940" width="12.5703125" customWidth="1"/>
    <col min="8941" max="8941" width="11.42578125" customWidth="1"/>
    <col min="8942" max="8950" width="15.28515625" customWidth="1"/>
    <col min="8951" max="8951" width="13" customWidth="1"/>
    <col min="8952" max="8954" width="14.28515625" customWidth="1"/>
    <col min="8955" max="8955" width="13.42578125" customWidth="1"/>
    <col min="8956" max="8958" width="19.28515625" customWidth="1"/>
    <col min="8959" max="8959" width="26.42578125" customWidth="1"/>
    <col min="8960" max="8960" width="8.5703125" customWidth="1"/>
    <col min="8961" max="8962" width="19.42578125" customWidth="1"/>
    <col min="8963" max="8963" width="17.28515625" customWidth="1"/>
    <col min="8964" max="8964" width="16.5703125" customWidth="1"/>
    <col min="8965" max="8965" width="12.42578125" bestFit="1" customWidth="1"/>
    <col min="8966" max="8972" width="12.42578125" customWidth="1"/>
    <col min="8973" max="8973" width="20.42578125" bestFit="1" customWidth="1"/>
    <col min="8974" max="8974" width="21.7109375" customWidth="1"/>
    <col min="8975" max="8975" width="17" bestFit="1" customWidth="1"/>
    <col min="8976" max="8976" width="19.42578125" bestFit="1" customWidth="1"/>
    <col min="8977" max="8977" width="10.7109375" bestFit="1" customWidth="1"/>
    <col min="8978" max="8978" width="17" customWidth="1"/>
    <col min="8979" max="8980" width="12.42578125" customWidth="1"/>
    <col min="8981" max="8982" width="18.28515625" customWidth="1"/>
    <col min="8983" max="8983" width="9.28515625" bestFit="1" customWidth="1"/>
    <col min="8984" max="8984" width="15.42578125" customWidth="1"/>
    <col min="8985" max="8985" width="8.42578125" bestFit="1" customWidth="1"/>
    <col min="8986" max="8986" width="11.5703125" customWidth="1"/>
    <col min="8987" max="8987" width="8.42578125" customWidth="1"/>
    <col min="8988" max="8988" width="10.42578125" customWidth="1"/>
    <col min="8989" max="8989" width="11.28515625" customWidth="1"/>
    <col min="8990" max="8992" width="10.5703125" customWidth="1"/>
    <col min="8993" max="8993" width="11.28515625" customWidth="1"/>
    <col min="8994" max="8996" width="10.5703125" customWidth="1"/>
    <col min="9129" max="9129" width="12.5703125" bestFit="1" customWidth="1"/>
    <col min="9130" max="9130" width="12.5703125" customWidth="1"/>
    <col min="9131" max="9131" width="13.5703125" bestFit="1" customWidth="1"/>
    <col min="9132" max="9132" width="15" bestFit="1" customWidth="1"/>
    <col min="9133" max="9133" width="15" customWidth="1"/>
    <col min="9134" max="9138" width="18.5703125" customWidth="1"/>
    <col min="9139" max="9140" width="31.42578125" customWidth="1"/>
    <col min="9141" max="9141" width="13.5703125" bestFit="1" customWidth="1"/>
    <col min="9142" max="9142" width="13.5703125" customWidth="1"/>
    <col min="9143" max="9143" width="20.5703125" customWidth="1"/>
    <col min="9144" max="9144" width="16" customWidth="1"/>
    <col min="9145" max="9145" width="12.28515625" bestFit="1" customWidth="1"/>
    <col min="9146" max="9146" width="17.5703125" customWidth="1"/>
    <col min="9147" max="9147" width="16" customWidth="1"/>
    <col min="9148" max="9148" width="21" customWidth="1"/>
    <col min="9149" max="9149" width="17.5703125" customWidth="1"/>
    <col min="9150" max="9150" width="27" customWidth="1"/>
    <col min="9151" max="9153" width="23.28515625" customWidth="1"/>
    <col min="9154" max="9154" width="15.7109375" customWidth="1"/>
    <col min="9155" max="9155" width="16.42578125" customWidth="1"/>
    <col min="9156" max="9158" width="19.28515625" customWidth="1"/>
    <col min="9159" max="9160" width="5.28515625" bestFit="1" customWidth="1"/>
    <col min="9161" max="9161" width="12.7109375" customWidth="1"/>
    <col min="9162" max="9163" width="19.28515625" customWidth="1"/>
    <col min="9164" max="9166" width="13.5703125" customWidth="1"/>
    <col min="9167" max="9167" width="15.5703125" customWidth="1"/>
    <col min="9168" max="9169" width="14.7109375" customWidth="1"/>
    <col min="9170" max="9171" width="14.28515625" customWidth="1"/>
    <col min="9172" max="9172" width="13.5703125" bestFit="1" customWidth="1"/>
    <col min="9173" max="9173" width="19.5703125" customWidth="1"/>
    <col min="9174" max="9174" width="22" customWidth="1"/>
    <col min="9175" max="9175" width="14.5703125" customWidth="1"/>
    <col min="9176" max="9176" width="15" customWidth="1"/>
    <col min="9177" max="9177" width="12.5703125" bestFit="1" customWidth="1"/>
    <col min="9178" max="9178" width="14.42578125" customWidth="1"/>
    <col min="9179" max="9179" width="19.42578125" bestFit="1" customWidth="1"/>
    <col min="9180" max="9180" width="29.5703125" customWidth="1"/>
    <col min="9181" max="9181" width="8.7109375" bestFit="1" customWidth="1"/>
    <col min="9182" max="9183" width="8.7109375" customWidth="1"/>
    <col min="9184" max="9185" width="16" customWidth="1"/>
    <col min="9186" max="9186" width="17.42578125" customWidth="1"/>
    <col min="9187" max="9187" width="14.5703125" customWidth="1"/>
    <col min="9188" max="9190" width="12.5703125" customWidth="1"/>
    <col min="9191" max="9191" width="14.42578125" customWidth="1"/>
    <col min="9192" max="9192" width="12.5703125" customWidth="1"/>
    <col min="9193" max="9195" width="14.5703125" customWidth="1"/>
    <col min="9196" max="9196" width="12.5703125" customWidth="1"/>
    <col min="9197" max="9197" width="11.42578125" customWidth="1"/>
    <col min="9198" max="9206" width="15.28515625" customWidth="1"/>
    <col min="9207" max="9207" width="13" customWidth="1"/>
    <col min="9208" max="9210" width="14.28515625" customWidth="1"/>
    <col min="9211" max="9211" width="13.42578125" customWidth="1"/>
    <col min="9212" max="9214" width="19.28515625" customWidth="1"/>
    <col min="9215" max="9215" width="26.42578125" customWidth="1"/>
    <col min="9216" max="9216" width="8.5703125" customWidth="1"/>
    <col min="9217" max="9218" width="19.42578125" customWidth="1"/>
    <col min="9219" max="9219" width="17.28515625" customWidth="1"/>
    <col min="9220" max="9220" width="16.5703125" customWidth="1"/>
    <col min="9221" max="9221" width="12.42578125" bestFit="1" customWidth="1"/>
    <col min="9222" max="9228" width="12.42578125" customWidth="1"/>
    <col min="9229" max="9229" width="20.42578125" bestFit="1" customWidth="1"/>
    <col min="9230" max="9230" width="21.7109375" customWidth="1"/>
    <col min="9231" max="9231" width="17" bestFit="1" customWidth="1"/>
    <col min="9232" max="9232" width="19.42578125" bestFit="1" customWidth="1"/>
    <col min="9233" max="9233" width="10.7109375" bestFit="1" customWidth="1"/>
    <col min="9234" max="9234" width="17" customWidth="1"/>
    <col min="9235" max="9236" width="12.42578125" customWidth="1"/>
    <col min="9237" max="9238" width="18.28515625" customWidth="1"/>
    <col min="9239" max="9239" width="9.28515625" bestFit="1" customWidth="1"/>
    <col min="9240" max="9240" width="15.42578125" customWidth="1"/>
    <col min="9241" max="9241" width="8.42578125" bestFit="1" customWidth="1"/>
    <col min="9242" max="9242" width="11.5703125" customWidth="1"/>
    <col min="9243" max="9243" width="8.42578125" customWidth="1"/>
    <col min="9244" max="9244" width="10.42578125" customWidth="1"/>
    <col min="9245" max="9245" width="11.28515625" customWidth="1"/>
    <col min="9246" max="9248" width="10.5703125" customWidth="1"/>
    <col min="9249" max="9249" width="11.28515625" customWidth="1"/>
    <col min="9250" max="9252" width="10.5703125" customWidth="1"/>
    <col min="9385" max="9385" width="12.5703125" bestFit="1" customWidth="1"/>
    <col min="9386" max="9386" width="12.5703125" customWidth="1"/>
    <col min="9387" max="9387" width="13.5703125" bestFit="1" customWidth="1"/>
    <col min="9388" max="9388" width="15" bestFit="1" customWidth="1"/>
    <col min="9389" max="9389" width="15" customWidth="1"/>
    <col min="9390" max="9394" width="18.5703125" customWidth="1"/>
    <col min="9395" max="9396" width="31.42578125" customWidth="1"/>
    <col min="9397" max="9397" width="13.5703125" bestFit="1" customWidth="1"/>
    <col min="9398" max="9398" width="13.5703125" customWidth="1"/>
    <col min="9399" max="9399" width="20.5703125" customWidth="1"/>
    <col min="9400" max="9400" width="16" customWidth="1"/>
    <col min="9401" max="9401" width="12.28515625" bestFit="1" customWidth="1"/>
    <col min="9402" max="9402" width="17.5703125" customWidth="1"/>
    <col min="9403" max="9403" width="16" customWidth="1"/>
    <col min="9404" max="9404" width="21" customWidth="1"/>
    <col min="9405" max="9405" width="17.5703125" customWidth="1"/>
    <col min="9406" max="9406" width="27" customWidth="1"/>
    <col min="9407" max="9409" width="23.28515625" customWidth="1"/>
    <col min="9410" max="9410" width="15.7109375" customWidth="1"/>
    <col min="9411" max="9411" width="16.42578125" customWidth="1"/>
    <col min="9412" max="9414" width="19.28515625" customWidth="1"/>
    <col min="9415" max="9416" width="5.28515625" bestFit="1" customWidth="1"/>
    <col min="9417" max="9417" width="12.7109375" customWidth="1"/>
    <col min="9418" max="9419" width="19.28515625" customWidth="1"/>
    <col min="9420" max="9422" width="13.5703125" customWidth="1"/>
    <col min="9423" max="9423" width="15.5703125" customWidth="1"/>
    <col min="9424" max="9425" width="14.7109375" customWidth="1"/>
    <col min="9426" max="9427" width="14.28515625" customWidth="1"/>
    <col min="9428" max="9428" width="13.5703125" bestFit="1" customWidth="1"/>
    <col min="9429" max="9429" width="19.5703125" customWidth="1"/>
    <col min="9430" max="9430" width="22" customWidth="1"/>
    <col min="9431" max="9431" width="14.5703125" customWidth="1"/>
    <col min="9432" max="9432" width="15" customWidth="1"/>
    <col min="9433" max="9433" width="12.5703125" bestFit="1" customWidth="1"/>
    <col min="9434" max="9434" width="14.42578125" customWidth="1"/>
    <col min="9435" max="9435" width="19.42578125" bestFit="1" customWidth="1"/>
    <col min="9436" max="9436" width="29.5703125" customWidth="1"/>
    <col min="9437" max="9437" width="8.7109375" bestFit="1" customWidth="1"/>
    <col min="9438" max="9439" width="8.7109375" customWidth="1"/>
    <col min="9440" max="9441" width="16" customWidth="1"/>
    <col min="9442" max="9442" width="17.42578125" customWidth="1"/>
    <col min="9443" max="9443" width="14.5703125" customWidth="1"/>
    <col min="9444" max="9446" width="12.5703125" customWidth="1"/>
    <col min="9447" max="9447" width="14.42578125" customWidth="1"/>
    <col min="9448" max="9448" width="12.5703125" customWidth="1"/>
    <col min="9449" max="9451" width="14.5703125" customWidth="1"/>
    <col min="9452" max="9452" width="12.5703125" customWidth="1"/>
    <col min="9453" max="9453" width="11.42578125" customWidth="1"/>
    <col min="9454" max="9462" width="15.28515625" customWidth="1"/>
    <col min="9463" max="9463" width="13" customWidth="1"/>
    <col min="9464" max="9466" width="14.28515625" customWidth="1"/>
    <col min="9467" max="9467" width="13.42578125" customWidth="1"/>
    <col min="9468" max="9470" width="19.28515625" customWidth="1"/>
    <col min="9471" max="9471" width="26.42578125" customWidth="1"/>
    <col min="9472" max="9472" width="8.5703125" customWidth="1"/>
    <col min="9473" max="9474" width="19.42578125" customWidth="1"/>
    <col min="9475" max="9475" width="17.28515625" customWidth="1"/>
    <col min="9476" max="9476" width="16.5703125" customWidth="1"/>
    <col min="9477" max="9477" width="12.42578125" bestFit="1" customWidth="1"/>
    <col min="9478" max="9484" width="12.42578125" customWidth="1"/>
    <col min="9485" max="9485" width="20.42578125" bestFit="1" customWidth="1"/>
    <col min="9486" max="9486" width="21.7109375" customWidth="1"/>
    <col min="9487" max="9487" width="17" bestFit="1" customWidth="1"/>
    <col min="9488" max="9488" width="19.42578125" bestFit="1" customWidth="1"/>
    <col min="9489" max="9489" width="10.7109375" bestFit="1" customWidth="1"/>
    <col min="9490" max="9490" width="17" customWidth="1"/>
    <col min="9491" max="9492" width="12.42578125" customWidth="1"/>
    <col min="9493" max="9494" width="18.28515625" customWidth="1"/>
    <col min="9495" max="9495" width="9.28515625" bestFit="1" customWidth="1"/>
    <col min="9496" max="9496" width="15.42578125" customWidth="1"/>
    <col min="9497" max="9497" width="8.42578125" bestFit="1" customWidth="1"/>
    <col min="9498" max="9498" width="11.5703125" customWidth="1"/>
    <col min="9499" max="9499" width="8.42578125" customWidth="1"/>
    <col min="9500" max="9500" width="10.42578125" customWidth="1"/>
    <col min="9501" max="9501" width="11.28515625" customWidth="1"/>
    <col min="9502" max="9504" width="10.5703125" customWidth="1"/>
    <col min="9505" max="9505" width="11.28515625" customWidth="1"/>
    <col min="9506" max="9508" width="10.5703125" customWidth="1"/>
    <col min="9641" max="9641" width="12.5703125" bestFit="1" customWidth="1"/>
    <col min="9642" max="9642" width="12.5703125" customWidth="1"/>
    <col min="9643" max="9643" width="13.5703125" bestFit="1" customWidth="1"/>
    <col min="9644" max="9644" width="15" bestFit="1" customWidth="1"/>
    <col min="9645" max="9645" width="15" customWidth="1"/>
    <col min="9646" max="9650" width="18.5703125" customWidth="1"/>
    <col min="9651" max="9652" width="31.42578125" customWidth="1"/>
    <col min="9653" max="9653" width="13.5703125" bestFit="1" customWidth="1"/>
    <col min="9654" max="9654" width="13.5703125" customWidth="1"/>
    <col min="9655" max="9655" width="20.5703125" customWidth="1"/>
    <col min="9656" max="9656" width="16" customWidth="1"/>
    <col min="9657" max="9657" width="12.28515625" bestFit="1" customWidth="1"/>
    <col min="9658" max="9658" width="17.5703125" customWidth="1"/>
    <col min="9659" max="9659" width="16" customWidth="1"/>
    <col min="9660" max="9660" width="21" customWidth="1"/>
    <col min="9661" max="9661" width="17.5703125" customWidth="1"/>
    <col min="9662" max="9662" width="27" customWidth="1"/>
    <col min="9663" max="9665" width="23.28515625" customWidth="1"/>
    <col min="9666" max="9666" width="15.7109375" customWidth="1"/>
    <col min="9667" max="9667" width="16.42578125" customWidth="1"/>
    <col min="9668" max="9670" width="19.28515625" customWidth="1"/>
    <col min="9671" max="9672" width="5.28515625" bestFit="1" customWidth="1"/>
    <col min="9673" max="9673" width="12.7109375" customWidth="1"/>
    <col min="9674" max="9675" width="19.28515625" customWidth="1"/>
    <col min="9676" max="9678" width="13.5703125" customWidth="1"/>
    <col min="9679" max="9679" width="15.5703125" customWidth="1"/>
    <col min="9680" max="9681" width="14.7109375" customWidth="1"/>
    <col min="9682" max="9683" width="14.28515625" customWidth="1"/>
    <col min="9684" max="9684" width="13.5703125" bestFit="1" customWidth="1"/>
    <col min="9685" max="9685" width="19.5703125" customWidth="1"/>
    <col min="9686" max="9686" width="22" customWidth="1"/>
    <col min="9687" max="9687" width="14.5703125" customWidth="1"/>
    <col min="9688" max="9688" width="15" customWidth="1"/>
    <col min="9689" max="9689" width="12.5703125" bestFit="1" customWidth="1"/>
    <col min="9690" max="9690" width="14.42578125" customWidth="1"/>
    <col min="9691" max="9691" width="19.42578125" bestFit="1" customWidth="1"/>
    <col min="9692" max="9692" width="29.5703125" customWidth="1"/>
    <col min="9693" max="9693" width="8.7109375" bestFit="1" customWidth="1"/>
    <col min="9694" max="9695" width="8.7109375" customWidth="1"/>
    <col min="9696" max="9697" width="16" customWidth="1"/>
    <col min="9698" max="9698" width="17.42578125" customWidth="1"/>
    <col min="9699" max="9699" width="14.5703125" customWidth="1"/>
    <col min="9700" max="9702" width="12.5703125" customWidth="1"/>
    <col min="9703" max="9703" width="14.42578125" customWidth="1"/>
    <col min="9704" max="9704" width="12.5703125" customWidth="1"/>
    <col min="9705" max="9707" width="14.5703125" customWidth="1"/>
    <col min="9708" max="9708" width="12.5703125" customWidth="1"/>
    <col min="9709" max="9709" width="11.42578125" customWidth="1"/>
    <col min="9710" max="9718" width="15.28515625" customWidth="1"/>
    <col min="9719" max="9719" width="13" customWidth="1"/>
    <col min="9720" max="9722" width="14.28515625" customWidth="1"/>
    <col min="9723" max="9723" width="13.42578125" customWidth="1"/>
    <col min="9724" max="9726" width="19.28515625" customWidth="1"/>
    <col min="9727" max="9727" width="26.42578125" customWidth="1"/>
    <col min="9728" max="9728" width="8.5703125" customWidth="1"/>
    <col min="9729" max="9730" width="19.42578125" customWidth="1"/>
    <col min="9731" max="9731" width="17.28515625" customWidth="1"/>
    <col min="9732" max="9732" width="16.5703125" customWidth="1"/>
    <col min="9733" max="9733" width="12.42578125" bestFit="1" customWidth="1"/>
    <col min="9734" max="9740" width="12.42578125" customWidth="1"/>
    <col min="9741" max="9741" width="20.42578125" bestFit="1" customWidth="1"/>
    <col min="9742" max="9742" width="21.7109375" customWidth="1"/>
    <col min="9743" max="9743" width="17" bestFit="1" customWidth="1"/>
    <col min="9744" max="9744" width="19.42578125" bestFit="1" customWidth="1"/>
    <col min="9745" max="9745" width="10.7109375" bestFit="1" customWidth="1"/>
    <col min="9746" max="9746" width="17" customWidth="1"/>
    <col min="9747" max="9748" width="12.42578125" customWidth="1"/>
    <col min="9749" max="9750" width="18.28515625" customWidth="1"/>
    <col min="9751" max="9751" width="9.28515625" bestFit="1" customWidth="1"/>
    <col min="9752" max="9752" width="15.42578125" customWidth="1"/>
    <col min="9753" max="9753" width="8.42578125" bestFit="1" customWidth="1"/>
    <col min="9754" max="9754" width="11.5703125" customWidth="1"/>
    <col min="9755" max="9755" width="8.42578125" customWidth="1"/>
    <col min="9756" max="9756" width="10.42578125" customWidth="1"/>
    <col min="9757" max="9757" width="11.28515625" customWidth="1"/>
    <col min="9758" max="9760" width="10.5703125" customWidth="1"/>
    <col min="9761" max="9761" width="11.28515625" customWidth="1"/>
    <col min="9762" max="9764" width="10.5703125" customWidth="1"/>
    <col min="9897" max="9897" width="12.5703125" bestFit="1" customWidth="1"/>
    <col min="9898" max="9898" width="12.5703125" customWidth="1"/>
    <col min="9899" max="9899" width="13.5703125" bestFit="1" customWidth="1"/>
    <col min="9900" max="9900" width="15" bestFit="1" customWidth="1"/>
    <col min="9901" max="9901" width="15" customWidth="1"/>
    <col min="9902" max="9906" width="18.5703125" customWidth="1"/>
    <col min="9907" max="9908" width="31.42578125" customWidth="1"/>
    <col min="9909" max="9909" width="13.5703125" bestFit="1" customWidth="1"/>
    <col min="9910" max="9910" width="13.5703125" customWidth="1"/>
    <col min="9911" max="9911" width="20.5703125" customWidth="1"/>
    <col min="9912" max="9912" width="16" customWidth="1"/>
    <col min="9913" max="9913" width="12.28515625" bestFit="1" customWidth="1"/>
    <col min="9914" max="9914" width="17.5703125" customWidth="1"/>
    <col min="9915" max="9915" width="16" customWidth="1"/>
    <col min="9916" max="9916" width="21" customWidth="1"/>
    <col min="9917" max="9917" width="17.5703125" customWidth="1"/>
    <col min="9918" max="9918" width="27" customWidth="1"/>
    <col min="9919" max="9921" width="23.28515625" customWidth="1"/>
    <col min="9922" max="9922" width="15.7109375" customWidth="1"/>
    <col min="9923" max="9923" width="16.42578125" customWidth="1"/>
    <col min="9924" max="9926" width="19.28515625" customWidth="1"/>
    <col min="9927" max="9928" width="5.28515625" bestFit="1" customWidth="1"/>
    <col min="9929" max="9929" width="12.7109375" customWidth="1"/>
    <col min="9930" max="9931" width="19.28515625" customWidth="1"/>
    <col min="9932" max="9934" width="13.5703125" customWidth="1"/>
    <col min="9935" max="9935" width="15.5703125" customWidth="1"/>
    <col min="9936" max="9937" width="14.7109375" customWidth="1"/>
    <col min="9938" max="9939" width="14.28515625" customWidth="1"/>
    <col min="9940" max="9940" width="13.5703125" bestFit="1" customWidth="1"/>
    <col min="9941" max="9941" width="19.5703125" customWidth="1"/>
    <col min="9942" max="9942" width="22" customWidth="1"/>
    <col min="9943" max="9943" width="14.5703125" customWidth="1"/>
    <col min="9944" max="9944" width="15" customWidth="1"/>
    <col min="9945" max="9945" width="12.5703125" bestFit="1" customWidth="1"/>
    <col min="9946" max="9946" width="14.42578125" customWidth="1"/>
    <col min="9947" max="9947" width="19.42578125" bestFit="1" customWidth="1"/>
    <col min="9948" max="9948" width="29.5703125" customWidth="1"/>
    <col min="9949" max="9949" width="8.7109375" bestFit="1" customWidth="1"/>
    <col min="9950" max="9951" width="8.7109375" customWidth="1"/>
    <col min="9952" max="9953" width="16" customWidth="1"/>
    <col min="9954" max="9954" width="17.42578125" customWidth="1"/>
    <col min="9955" max="9955" width="14.5703125" customWidth="1"/>
    <col min="9956" max="9958" width="12.5703125" customWidth="1"/>
    <col min="9959" max="9959" width="14.42578125" customWidth="1"/>
    <col min="9960" max="9960" width="12.5703125" customWidth="1"/>
    <col min="9961" max="9963" width="14.5703125" customWidth="1"/>
    <col min="9964" max="9964" width="12.5703125" customWidth="1"/>
    <col min="9965" max="9965" width="11.42578125" customWidth="1"/>
    <col min="9966" max="9974" width="15.28515625" customWidth="1"/>
    <col min="9975" max="9975" width="13" customWidth="1"/>
    <col min="9976" max="9978" width="14.28515625" customWidth="1"/>
    <col min="9979" max="9979" width="13.42578125" customWidth="1"/>
    <col min="9980" max="9982" width="19.28515625" customWidth="1"/>
    <col min="9983" max="9983" width="26.42578125" customWidth="1"/>
    <col min="9984" max="9984" width="8.5703125" customWidth="1"/>
    <col min="9985" max="9986" width="19.42578125" customWidth="1"/>
    <col min="9987" max="9987" width="17.28515625" customWidth="1"/>
    <col min="9988" max="9988" width="16.5703125" customWidth="1"/>
    <col min="9989" max="9989" width="12.42578125" bestFit="1" customWidth="1"/>
    <col min="9990" max="9996" width="12.42578125" customWidth="1"/>
    <col min="9997" max="9997" width="20.42578125" bestFit="1" customWidth="1"/>
    <col min="9998" max="9998" width="21.7109375" customWidth="1"/>
    <col min="9999" max="9999" width="17" bestFit="1" customWidth="1"/>
    <col min="10000" max="10000" width="19.42578125" bestFit="1" customWidth="1"/>
    <col min="10001" max="10001" width="10.7109375" bestFit="1" customWidth="1"/>
    <col min="10002" max="10002" width="17" customWidth="1"/>
    <col min="10003" max="10004" width="12.42578125" customWidth="1"/>
    <col min="10005" max="10006" width="18.28515625" customWidth="1"/>
    <col min="10007" max="10007" width="9.28515625" bestFit="1" customWidth="1"/>
    <col min="10008" max="10008" width="15.42578125" customWidth="1"/>
    <col min="10009" max="10009" width="8.42578125" bestFit="1" customWidth="1"/>
    <col min="10010" max="10010" width="11.5703125" customWidth="1"/>
    <col min="10011" max="10011" width="8.42578125" customWidth="1"/>
    <col min="10012" max="10012" width="10.42578125" customWidth="1"/>
    <col min="10013" max="10013" width="11.28515625" customWidth="1"/>
    <col min="10014" max="10016" width="10.5703125" customWidth="1"/>
    <col min="10017" max="10017" width="11.28515625" customWidth="1"/>
    <col min="10018" max="10020" width="10.5703125" customWidth="1"/>
    <col min="10153" max="10153" width="12.5703125" bestFit="1" customWidth="1"/>
    <col min="10154" max="10154" width="12.5703125" customWidth="1"/>
    <col min="10155" max="10155" width="13.5703125" bestFit="1" customWidth="1"/>
    <col min="10156" max="10156" width="15" bestFit="1" customWidth="1"/>
    <col min="10157" max="10157" width="15" customWidth="1"/>
    <col min="10158" max="10162" width="18.5703125" customWidth="1"/>
    <col min="10163" max="10164" width="31.42578125" customWidth="1"/>
    <col min="10165" max="10165" width="13.5703125" bestFit="1" customWidth="1"/>
    <col min="10166" max="10166" width="13.5703125" customWidth="1"/>
    <col min="10167" max="10167" width="20.5703125" customWidth="1"/>
    <col min="10168" max="10168" width="16" customWidth="1"/>
    <col min="10169" max="10169" width="12.28515625" bestFit="1" customWidth="1"/>
    <col min="10170" max="10170" width="17.5703125" customWidth="1"/>
    <col min="10171" max="10171" width="16" customWidth="1"/>
    <col min="10172" max="10172" width="21" customWidth="1"/>
    <col min="10173" max="10173" width="17.5703125" customWidth="1"/>
    <col min="10174" max="10174" width="27" customWidth="1"/>
    <col min="10175" max="10177" width="23.28515625" customWidth="1"/>
    <col min="10178" max="10178" width="15.7109375" customWidth="1"/>
    <col min="10179" max="10179" width="16.42578125" customWidth="1"/>
    <col min="10180" max="10182" width="19.28515625" customWidth="1"/>
    <col min="10183" max="10184" width="5.28515625" bestFit="1" customWidth="1"/>
    <col min="10185" max="10185" width="12.7109375" customWidth="1"/>
    <col min="10186" max="10187" width="19.28515625" customWidth="1"/>
    <col min="10188" max="10190" width="13.5703125" customWidth="1"/>
    <col min="10191" max="10191" width="15.5703125" customWidth="1"/>
    <col min="10192" max="10193" width="14.7109375" customWidth="1"/>
    <col min="10194" max="10195" width="14.28515625" customWidth="1"/>
    <col min="10196" max="10196" width="13.5703125" bestFit="1" customWidth="1"/>
    <col min="10197" max="10197" width="19.5703125" customWidth="1"/>
    <col min="10198" max="10198" width="22" customWidth="1"/>
    <col min="10199" max="10199" width="14.5703125" customWidth="1"/>
    <col min="10200" max="10200" width="15" customWidth="1"/>
    <col min="10201" max="10201" width="12.5703125" bestFit="1" customWidth="1"/>
    <col min="10202" max="10202" width="14.42578125" customWidth="1"/>
    <col min="10203" max="10203" width="19.42578125" bestFit="1" customWidth="1"/>
    <col min="10204" max="10204" width="29.5703125" customWidth="1"/>
    <col min="10205" max="10205" width="8.7109375" bestFit="1" customWidth="1"/>
    <col min="10206" max="10207" width="8.7109375" customWidth="1"/>
    <col min="10208" max="10209" width="16" customWidth="1"/>
    <col min="10210" max="10210" width="17.42578125" customWidth="1"/>
    <col min="10211" max="10211" width="14.5703125" customWidth="1"/>
    <col min="10212" max="10214" width="12.5703125" customWidth="1"/>
    <col min="10215" max="10215" width="14.42578125" customWidth="1"/>
    <col min="10216" max="10216" width="12.5703125" customWidth="1"/>
    <col min="10217" max="10219" width="14.5703125" customWidth="1"/>
    <col min="10220" max="10220" width="12.5703125" customWidth="1"/>
    <col min="10221" max="10221" width="11.42578125" customWidth="1"/>
    <col min="10222" max="10230" width="15.28515625" customWidth="1"/>
    <col min="10231" max="10231" width="13" customWidth="1"/>
    <col min="10232" max="10234" width="14.28515625" customWidth="1"/>
    <col min="10235" max="10235" width="13.42578125" customWidth="1"/>
    <col min="10236" max="10238" width="19.28515625" customWidth="1"/>
    <col min="10239" max="10239" width="26.42578125" customWidth="1"/>
    <col min="10240" max="10240" width="8.5703125" customWidth="1"/>
    <col min="10241" max="10242" width="19.42578125" customWidth="1"/>
    <col min="10243" max="10243" width="17.28515625" customWidth="1"/>
    <col min="10244" max="10244" width="16.5703125" customWidth="1"/>
    <col min="10245" max="10245" width="12.42578125" bestFit="1" customWidth="1"/>
    <col min="10246" max="10252" width="12.42578125" customWidth="1"/>
    <col min="10253" max="10253" width="20.42578125" bestFit="1" customWidth="1"/>
    <col min="10254" max="10254" width="21.7109375" customWidth="1"/>
    <col min="10255" max="10255" width="17" bestFit="1" customWidth="1"/>
    <col min="10256" max="10256" width="19.42578125" bestFit="1" customWidth="1"/>
    <col min="10257" max="10257" width="10.7109375" bestFit="1" customWidth="1"/>
    <col min="10258" max="10258" width="17" customWidth="1"/>
    <col min="10259" max="10260" width="12.42578125" customWidth="1"/>
    <col min="10261" max="10262" width="18.28515625" customWidth="1"/>
    <col min="10263" max="10263" width="9.28515625" bestFit="1" customWidth="1"/>
    <col min="10264" max="10264" width="15.42578125" customWidth="1"/>
    <col min="10265" max="10265" width="8.42578125" bestFit="1" customWidth="1"/>
    <col min="10266" max="10266" width="11.5703125" customWidth="1"/>
    <col min="10267" max="10267" width="8.42578125" customWidth="1"/>
    <col min="10268" max="10268" width="10.42578125" customWidth="1"/>
    <col min="10269" max="10269" width="11.28515625" customWidth="1"/>
    <col min="10270" max="10272" width="10.5703125" customWidth="1"/>
    <col min="10273" max="10273" width="11.28515625" customWidth="1"/>
    <col min="10274" max="10276" width="10.5703125" customWidth="1"/>
    <col min="10409" max="10409" width="12.5703125" bestFit="1" customWidth="1"/>
    <col min="10410" max="10410" width="12.5703125" customWidth="1"/>
    <col min="10411" max="10411" width="13.5703125" bestFit="1" customWidth="1"/>
    <col min="10412" max="10412" width="15" bestFit="1" customWidth="1"/>
    <col min="10413" max="10413" width="15" customWidth="1"/>
    <col min="10414" max="10418" width="18.5703125" customWidth="1"/>
    <col min="10419" max="10420" width="31.42578125" customWidth="1"/>
    <col min="10421" max="10421" width="13.5703125" bestFit="1" customWidth="1"/>
    <col min="10422" max="10422" width="13.5703125" customWidth="1"/>
    <col min="10423" max="10423" width="20.5703125" customWidth="1"/>
    <col min="10424" max="10424" width="16" customWidth="1"/>
    <col min="10425" max="10425" width="12.28515625" bestFit="1" customWidth="1"/>
    <col min="10426" max="10426" width="17.5703125" customWidth="1"/>
    <col min="10427" max="10427" width="16" customWidth="1"/>
    <col min="10428" max="10428" width="21" customWidth="1"/>
    <col min="10429" max="10429" width="17.5703125" customWidth="1"/>
    <col min="10430" max="10430" width="27" customWidth="1"/>
    <col min="10431" max="10433" width="23.28515625" customWidth="1"/>
    <col min="10434" max="10434" width="15.7109375" customWidth="1"/>
    <col min="10435" max="10435" width="16.42578125" customWidth="1"/>
    <col min="10436" max="10438" width="19.28515625" customWidth="1"/>
    <col min="10439" max="10440" width="5.28515625" bestFit="1" customWidth="1"/>
    <col min="10441" max="10441" width="12.7109375" customWidth="1"/>
    <col min="10442" max="10443" width="19.28515625" customWidth="1"/>
    <col min="10444" max="10446" width="13.5703125" customWidth="1"/>
    <col min="10447" max="10447" width="15.5703125" customWidth="1"/>
    <col min="10448" max="10449" width="14.7109375" customWidth="1"/>
    <col min="10450" max="10451" width="14.28515625" customWidth="1"/>
    <col min="10452" max="10452" width="13.5703125" bestFit="1" customWidth="1"/>
    <col min="10453" max="10453" width="19.5703125" customWidth="1"/>
    <col min="10454" max="10454" width="22" customWidth="1"/>
    <col min="10455" max="10455" width="14.5703125" customWidth="1"/>
    <col min="10456" max="10456" width="15" customWidth="1"/>
    <col min="10457" max="10457" width="12.5703125" bestFit="1" customWidth="1"/>
    <col min="10458" max="10458" width="14.42578125" customWidth="1"/>
    <col min="10459" max="10459" width="19.42578125" bestFit="1" customWidth="1"/>
    <col min="10460" max="10460" width="29.5703125" customWidth="1"/>
    <col min="10461" max="10461" width="8.7109375" bestFit="1" customWidth="1"/>
    <col min="10462" max="10463" width="8.7109375" customWidth="1"/>
    <col min="10464" max="10465" width="16" customWidth="1"/>
    <col min="10466" max="10466" width="17.42578125" customWidth="1"/>
    <col min="10467" max="10467" width="14.5703125" customWidth="1"/>
    <col min="10468" max="10470" width="12.5703125" customWidth="1"/>
    <col min="10471" max="10471" width="14.42578125" customWidth="1"/>
    <col min="10472" max="10472" width="12.5703125" customWidth="1"/>
    <col min="10473" max="10475" width="14.5703125" customWidth="1"/>
    <col min="10476" max="10476" width="12.5703125" customWidth="1"/>
    <col min="10477" max="10477" width="11.42578125" customWidth="1"/>
    <col min="10478" max="10486" width="15.28515625" customWidth="1"/>
    <col min="10487" max="10487" width="13" customWidth="1"/>
    <col min="10488" max="10490" width="14.28515625" customWidth="1"/>
    <col min="10491" max="10491" width="13.42578125" customWidth="1"/>
    <col min="10492" max="10494" width="19.28515625" customWidth="1"/>
    <col min="10495" max="10495" width="26.42578125" customWidth="1"/>
    <col min="10496" max="10496" width="8.5703125" customWidth="1"/>
    <col min="10497" max="10498" width="19.42578125" customWidth="1"/>
    <col min="10499" max="10499" width="17.28515625" customWidth="1"/>
    <col min="10500" max="10500" width="16.5703125" customWidth="1"/>
    <col min="10501" max="10501" width="12.42578125" bestFit="1" customWidth="1"/>
    <col min="10502" max="10508" width="12.42578125" customWidth="1"/>
    <col min="10509" max="10509" width="20.42578125" bestFit="1" customWidth="1"/>
    <col min="10510" max="10510" width="21.7109375" customWidth="1"/>
    <col min="10511" max="10511" width="17" bestFit="1" customWidth="1"/>
    <col min="10512" max="10512" width="19.42578125" bestFit="1" customWidth="1"/>
    <col min="10513" max="10513" width="10.7109375" bestFit="1" customWidth="1"/>
    <col min="10514" max="10514" width="17" customWidth="1"/>
    <col min="10515" max="10516" width="12.42578125" customWidth="1"/>
    <col min="10517" max="10518" width="18.28515625" customWidth="1"/>
    <col min="10519" max="10519" width="9.28515625" bestFit="1" customWidth="1"/>
    <col min="10520" max="10520" width="15.42578125" customWidth="1"/>
    <col min="10521" max="10521" width="8.42578125" bestFit="1" customWidth="1"/>
    <col min="10522" max="10522" width="11.5703125" customWidth="1"/>
    <col min="10523" max="10523" width="8.42578125" customWidth="1"/>
    <col min="10524" max="10524" width="10.42578125" customWidth="1"/>
    <col min="10525" max="10525" width="11.28515625" customWidth="1"/>
    <col min="10526" max="10528" width="10.5703125" customWidth="1"/>
    <col min="10529" max="10529" width="11.28515625" customWidth="1"/>
    <col min="10530" max="10532" width="10.5703125" customWidth="1"/>
    <col min="10665" max="10665" width="12.5703125" bestFit="1" customWidth="1"/>
    <col min="10666" max="10666" width="12.5703125" customWidth="1"/>
    <col min="10667" max="10667" width="13.5703125" bestFit="1" customWidth="1"/>
    <col min="10668" max="10668" width="15" bestFit="1" customWidth="1"/>
    <col min="10669" max="10669" width="15" customWidth="1"/>
    <col min="10670" max="10674" width="18.5703125" customWidth="1"/>
    <col min="10675" max="10676" width="31.42578125" customWidth="1"/>
    <col min="10677" max="10677" width="13.5703125" bestFit="1" customWidth="1"/>
    <col min="10678" max="10678" width="13.5703125" customWidth="1"/>
    <col min="10679" max="10679" width="20.5703125" customWidth="1"/>
    <col min="10680" max="10680" width="16" customWidth="1"/>
    <col min="10681" max="10681" width="12.28515625" bestFit="1" customWidth="1"/>
    <col min="10682" max="10682" width="17.5703125" customWidth="1"/>
    <col min="10683" max="10683" width="16" customWidth="1"/>
    <col min="10684" max="10684" width="21" customWidth="1"/>
    <col min="10685" max="10685" width="17.5703125" customWidth="1"/>
    <col min="10686" max="10686" width="27" customWidth="1"/>
    <col min="10687" max="10689" width="23.28515625" customWidth="1"/>
    <col min="10690" max="10690" width="15.7109375" customWidth="1"/>
    <col min="10691" max="10691" width="16.42578125" customWidth="1"/>
    <col min="10692" max="10694" width="19.28515625" customWidth="1"/>
    <col min="10695" max="10696" width="5.28515625" bestFit="1" customWidth="1"/>
    <col min="10697" max="10697" width="12.7109375" customWidth="1"/>
    <col min="10698" max="10699" width="19.28515625" customWidth="1"/>
    <col min="10700" max="10702" width="13.5703125" customWidth="1"/>
    <col min="10703" max="10703" width="15.5703125" customWidth="1"/>
    <col min="10704" max="10705" width="14.7109375" customWidth="1"/>
    <col min="10706" max="10707" width="14.28515625" customWidth="1"/>
    <col min="10708" max="10708" width="13.5703125" bestFit="1" customWidth="1"/>
    <col min="10709" max="10709" width="19.5703125" customWidth="1"/>
    <col min="10710" max="10710" width="22" customWidth="1"/>
    <col min="10711" max="10711" width="14.5703125" customWidth="1"/>
    <col min="10712" max="10712" width="15" customWidth="1"/>
    <col min="10713" max="10713" width="12.5703125" bestFit="1" customWidth="1"/>
    <col min="10714" max="10714" width="14.42578125" customWidth="1"/>
    <col min="10715" max="10715" width="19.42578125" bestFit="1" customWidth="1"/>
    <col min="10716" max="10716" width="29.5703125" customWidth="1"/>
    <col min="10717" max="10717" width="8.7109375" bestFit="1" customWidth="1"/>
    <col min="10718" max="10719" width="8.7109375" customWidth="1"/>
    <col min="10720" max="10721" width="16" customWidth="1"/>
    <col min="10722" max="10722" width="17.42578125" customWidth="1"/>
    <col min="10723" max="10723" width="14.5703125" customWidth="1"/>
    <col min="10724" max="10726" width="12.5703125" customWidth="1"/>
    <col min="10727" max="10727" width="14.42578125" customWidth="1"/>
    <col min="10728" max="10728" width="12.5703125" customWidth="1"/>
    <col min="10729" max="10731" width="14.5703125" customWidth="1"/>
    <col min="10732" max="10732" width="12.5703125" customWidth="1"/>
    <col min="10733" max="10733" width="11.42578125" customWidth="1"/>
    <col min="10734" max="10742" width="15.28515625" customWidth="1"/>
    <col min="10743" max="10743" width="13" customWidth="1"/>
    <col min="10744" max="10746" width="14.28515625" customWidth="1"/>
    <col min="10747" max="10747" width="13.42578125" customWidth="1"/>
    <col min="10748" max="10750" width="19.28515625" customWidth="1"/>
    <col min="10751" max="10751" width="26.42578125" customWidth="1"/>
    <col min="10752" max="10752" width="8.5703125" customWidth="1"/>
    <col min="10753" max="10754" width="19.42578125" customWidth="1"/>
    <col min="10755" max="10755" width="17.28515625" customWidth="1"/>
    <col min="10756" max="10756" width="16.5703125" customWidth="1"/>
    <col min="10757" max="10757" width="12.42578125" bestFit="1" customWidth="1"/>
    <col min="10758" max="10764" width="12.42578125" customWidth="1"/>
    <col min="10765" max="10765" width="20.42578125" bestFit="1" customWidth="1"/>
    <col min="10766" max="10766" width="21.7109375" customWidth="1"/>
    <col min="10767" max="10767" width="17" bestFit="1" customWidth="1"/>
    <col min="10768" max="10768" width="19.42578125" bestFit="1" customWidth="1"/>
    <col min="10769" max="10769" width="10.7109375" bestFit="1" customWidth="1"/>
    <col min="10770" max="10770" width="17" customWidth="1"/>
    <col min="10771" max="10772" width="12.42578125" customWidth="1"/>
    <col min="10773" max="10774" width="18.28515625" customWidth="1"/>
    <col min="10775" max="10775" width="9.28515625" bestFit="1" customWidth="1"/>
    <col min="10776" max="10776" width="15.42578125" customWidth="1"/>
    <col min="10777" max="10777" width="8.42578125" bestFit="1" customWidth="1"/>
    <col min="10778" max="10778" width="11.5703125" customWidth="1"/>
    <col min="10779" max="10779" width="8.42578125" customWidth="1"/>
    <col min="10780" max="10780" width="10.42578125" customWidth="1"/>
    <col min="10781" max="10781" width="11.28515625" customWidth="1"/>
    <col min="10782" max="10784" width="10.5703125" customWidth="1"/>
    <col min="10785" max="10785" width="11.28515625" customWidth="1"/>
    <col min="10786" max="10788" width="10.5703125" customWidth="1"/>
    <col min="10921" max="10921" width="12.5703125" bestFit="1" customWidth="1"/>
    <col min="10922" max="10922" width="12.5703125" customWidth="1"/>
    <col min="10923" max="10923" width="13.5703125" bestFit="1" customWidth="1"/>
    <col min="10924" max="10924" width="15" bestFit="1" customWidth="1"/>
    <col min="10925" max="10925" width="15" customWidth="1"/>
    <col min="10926" max="10930" width="18.5703125" customWidth="1"/>
    <col min="10931" max="10932" width="31.42578125" customWidth="1"/>
    <col min="10933" max="10933" width="13.5703125" bestFit="1" customWidth="1"/>
    <col min="10934" max="10934" width="13.5703125" customWidth="1"/>
    <col min="10935" max="10935" width="20.5703125" customWidth="1"/>
    <col min="10936" max="10936" width="16" customWidth="1"/>
    <col min="10937" max="10937" width="12.28515625" bestFit="1" customWidth="1"/>
    <col min="10938" max="10938" width="17.5703125" customWidth="1"/>
    <col min="10939" max="10939" width="16" customWidth="1"/>
    <col min="10940" max="10940" width="21" customWidth="1"/>
    <col min="10941" max="10941" width="17.5703125" customWidth="1"/>
    <col min="10942" max="10942" width="27" customWidth="1"/>
    <col min="10943" max="10945" width="23.28515625" customWidth="1"/>
    <col min="10946" max="10946" width="15.7109375" customWidth="1"/>
    <col min="10947" max="10947" width="16.42578125" customWidth="1"/>
    <col min="10948" max="10950" width="19.28515625" customWidth="1"/>
    <col min="10951" max="10952" width="5.28515625" bestFit="1" customWidth="1"/>
    <col min="10953" max="10953" width="12.7109375" customWidth="1"/>
    <col min="10954" max="10955" width="19.28515625" customWidth="1"/>
    <col min="10956" max="10958" width="13.5703125" customWidth="1"/>
    <col min="10959" max="10959" width="15.5703125" customWidth="1"/>
    <col min="10960" max="10961" width="14.7109375" customWidth="1"/>
    <col min="10962" max="10963" width="14.28515625" customWidth="1"/>
    <col min="10964" max="10964" width="13.5703125" bestFit="1" customWidth="1"/>
    <col min="10965" max="10965" width="19.5703125" customWidth="1"/>
    <col min="10966" max="10966" width="22" customWidth="1"/>
    <col min="10967" max="10967" width="14.5703125" customWidth="1"/>
    <col min="10968" max="10968" width="15" customWidth="1"/>
    <col min="10969" max="10969" width="12.5703125" bestFit="1" customWidth="1"/>
    <col min="10970" max="10970" width="14.42578125" customWidth="1"/>
    <col min="10971" max="10971" width="19.42578125" bestFit="1" customWidth="1"/>
    <col min="10972" max="10972" width="29.5703125" customWidth="1"/>
    <col min="10973" max="10973" width="8.7109375" bestFit="1" customWidth="1"/>
    <col min="10974" max="10975" width="8.7109375" customWidth="1"/>
    <col min="10976" max="10977" width="16" customWidth="1"/>
    <col min="10978" max="10978" width="17.42578125" customWidth="1"/>
    <col min="10979" max="10979" width="14.5703125" customWidth="1"/>
    <col min="10980" max="10982" width="12.5703125" customWidth="1"/>
    <col min="10983" max="10983" width="14.42578125" customWidth="1"/>
    <col min="10984" max="10984" width="12.5703125" customWidth="1"/>
    <col min="10985" max="10987" width="14.5703125" customWidth="1"/>
    <col min="10988" max="10988" width="12.5703125" customWidth="1"/>
    <col min="10989" max="10989" width="11.42578125" customWidth="1"/>
    <col min="10990" max="10998" width="15.28515625" customWidth="1"/>
    <col min="10999" max="10999" width="13" customWidth="1"/>
    <col min="11000" max="11002" width="14.28515625" customWidth="1"/>
    <col min="11003" max="11003" width="13.42578125" customWidth="1"/>
    <col min="11004" max="11006" width="19.28515625" customWidth="1"/>
    <col min="11007" max="11007" width="26.42578125" customWidth="1"/>
    <col min="11008" max="11008" width="8.5703125" customWidth="1"/>
    <col min="11009" max="11010" width="19.42578125" customWidth="1"/>
    <col min="11011" max="11011" width="17.28515625" customWidth="1"/>
    <col min="11012" max="11012" width="16.5703125" customWidth="1"/>
    <col min="11013" max="11013" width="12.42578125" bestFit="1" customWidth="1"/>
    <col min="11014" max="11020" width="12.42578125" customWidth="1"/>
    <col min="11021" max="11021" width="20.42578125" bestFit="1" customWidth="1"/>
    <col min="11022" max="11022" width="21.7109375" customWidth="1"/>
    <col min="11023" max="11023" width="17" bestFit="1" customWidth="1"/>
    <col min="11024" max="11024" width="19.42578125" bestFit="1" customWidth="1"/>
    <col min="11025" max="11025" width="10.7109375" bestFit="1" customWidth="1"/>
    <col min="11026" max="11026" width="17" customWidth="1"/>
    <col min="11027" max="11028" width="12.42578125" customWidth="1"/>
    <col min="11029" max="11030" width="18.28515625" customWidth="1"/>
    <col min="11031" max="11031" width="9.28515625" bestFit="1" customWidth="1"/>
    <col min="11032" max="11032" width="15.42578125" customWidth="1"/>
    <col min="11033" max="11033" width="8.42578125" bestFit="1" customWidth="1"/>
    <col min="11034" max="11034" width="11.5703125" customWidth="1"/>
    <col min="11035" max="11035" width="8.42578125" customWidth="1"/>
    <col min="11036" max="11036" width="10.42578125" customWidth="1"/>
    <col min="11037" max="11037" width="11.28515625" customWidth="1"/>
    <col min="11038" max="11040" width="10.5703125" customWidth="1"/>
    <col min="11041" max="11041" width="11.28515625" customWidth="1"/>
    <col min="11042" max="11044" width="10.5703125" customWidth="1"/>
    <col min="11177" max="11177" width="12.5703125" bestFit="1" customWidth="1"/>
    <col min="11178" max="11178" width="12.5703125" customWidth="1"/>
    <col min="11179" max="11179" width="13.5703125" bestFit="1" customWidth="1"/>
    <col min="11180" max="11180" width="15" bestFit="1" customWidth="1"/>
    <col min="11181" max="11181" width="15" customWidth="1"/>
    <col min="11182" max="11186" width="18.5703125" customWidth="1"/>
    <col min="11187" max="11188" width="31.42578125" customWidth="1"/>
    <col min="11189" max="11189" width="13.5703125" bestFit="1" customWidth="1"/>
    <col min="11190" max="11190" width="13.5703125" customWidth="1"/>
    <col min="11191" max="11191" width="20.5703125" customWidth="1"/>
    <col min="11192" max="11192" width="16" customWidth="1"/>
    <col min="11193" max="11193" width="12.28515625" bestFit="1" customWidth="1"/>
    <col min="11194" max="11194" width="17.5703125" customWidth="1"/>
    <col min="11195" max="11195" width="16" customWidth="1"/>
    <col min="11196" max="11196" width="21" customWidth="1"/>
    <col min="11197" max="11197" width="17.5703125" customWidth="1"/>
    <col min="11198" max="11198" width="27" customWidth="1"/>
    <col min="11199" max="11201" width="23.28515625" customWidth="1"/>
    <col min="11202" max="11202" width="15.7109375" customWidth="1"/>
    <col min="11203" max="11203" width="16.42578125" customWidth="1"/>
    <col min="11204" max="11206" width="19.28515625" customWidth="1"/>
    <col min="11207" max="11208" width="5.28515625" bestFit="1" customWidth="1"/>
    <col min="11209" max="11209" width="12.7109375" customWidth="1"/>
    <col min="11210" max="11211" width="19.28515625" customWidth="1"/>
    <col min="11212" max="11214" width="13.5703125" customWidth="1"/>
    <col min="11215" max="11215" width="15.5703125" customWidth="1"/>
    <col min="11216" max="11217" width="14.7109375" customWidth="1"/>
    <col min="11218" max="11219" width="14.28515625" customWidth="1"/>
    <col min="11220" max="11220" width="13.5703125" bestFit="1" customWidth="1"/>
    <col min="11221" max="11221" width="19.5703125" customWidth="1"/>
    <col min="11222" max="11222" width="22" customWidth="1"/>
    <col min="11223" max="11223" width="14.5703125" customWidth="1"/>
    <col min="11224" max="11224" width="15" customWidth="1"/>
    <col min="11225" max="11225" width="12.5703125" bestFit="1" customWidth="1"/>
    <col min="11226" max="11226" width="14.42578125" customWidth="1"/>
    <col min="11227" max="11227" width="19.42578125" bestFit="1" customWidth="1"/>
    <col min="11228" max="11228" width="29.5703125" customWidth="1"/>
    <col min="11229" max="11229" width="8.7109375" bestFit="1" customWidth="1"/>
    <col min="11230" max="11231" width="8.7109375" customWidth="1"/>
    <col min="11232" max="11233" width="16" customWidth="1"/>
    <col min="11234" max="11234" width="17.42578125" customWidth="1"/>
    <col min="11235" max="11235" width="14.5703125" customWidth="1"/>
    <col min="11236" max="11238" width="12.5703125" customWidth="1"/>
    <col min="11239" max="11239" width="14.42578125" customWidth="1"/>
    <col min="11240" max="11240" width="12.5703125" customWidth="1"/>
    <col min="11241" max="11243" width="14.5703125" customWidth="1"/>
    <col min="11244" max="11244" width="12.5703125" customWidth="1"/>
    <col min="11245" max="11245" width="11.42578125" customWidth="1"/>
    <col min="11246" max="11254" width="15.28515625" customWidth="1"/>
    <col min="11255" max="11255" width="13" customWidth="1"/>
    <col min="11256" max="11258" width="14.28515625" customWidth="1"/>
    <col min="11259" max="11259" width="13.42578125" customWidth="1"/>
    <col min="11260" max="11262" width="19.28515625" customWidth="1"/>
    <col min="11263" max="11263" width="26.42578125" customWidth="1"/>
    <col min="11264" max="11264" width="8.5703125" customWidth="1"/>
    <col min="11265" max="11266" width="19.42578125" customWidth="1"/>
    <col min="11267" max="11267" width="17.28515625" customWidth="1"/>
    <col min="11268" max="11268" width="16.5703125" customWidth="1"/>
    <col min="11269" max="11269" width="12.42578125" bestFit="1" customWidth="1"/>
    <col min="11270" max="11276" width="12.42578125" customWidth="1"/>
    <col min="11277" max="11277" width="20.42578125" bestFit="1" customWidth="1"/>
    <col min="11278" max="11278" width="21.7109375" customWidth="1"/>
    <col min="11279" max="11279" width="17" bestFit="1" customWidth="1"/>
    <col min="11280" max="11280" width="19.42578125" bestFit="1" customWidth="1"/>
    <col min="11281" max="11281" width="10.7109375" bestFit="1" customWidth="1"/>
    <col min="11282" max="11282" width="17" customWidth="1"/>
    <col min="11283" max="11284" width="12.42578125" customWidth="1"/>
    <col min="11285" max="11286" width="18.28515625" customWidth="1"/>
    <col min="11287" max="11287" width="9.28515625" bestFit="1" customWidth="1"/>
    <col min="11288" max="11288" width="15.42578125" customWidth="1"/>
    <col min="11289" max="11289" width="8.42578125" bestFit="1" customWidth="1"/>
    <col min="11290" max="11290" width="11.5703125" customWidth="1"/>
    <col min="11291" max="11291" width="8.42578125" customWidth="1"/>
    <col min="11292" max="11292" width="10.42578125" customWidth="1"/>
    <col min="11293" max="11293" width="11.28515625" customWidth="1"/>
    <col min="11294" max="11296" width="10.5703125" customWidth="1"/>
    <col min="11297" max="11297" width="11.28515625" customWidth="1"/>
    <col min="11298" max="11300" width="10.5703125" customWidth="1"/>
    <col min="11433" max="11433" width="12.5703125" bestFit="1" customWidth="1"/>
    <col min="11434" max="11434" width="12.5703125" customWidth="1"/>
    <col min="11435" max="11435" width="13.5703125" bestFit="1" customWidth="1"/>
    <col min="11436" max="11436" width="15" bestFit="1" customWidth="1"/>
    <col min="11437" max="11437" width="15" customWidth="1"/>
    <col min="11438" max="11442" width="18.5703125" customWidth="1"/>
    <col min="11443" max="11444" width="31.42578125" customWidth="1"/>
    <col min="11445" max="11445" width="13.5703125" bestFit="1" customWidth="1"/>
    <col min="11446" max="11446" width="13.5703125" customWidth="1"/>
    <col min="11447" max="11447" width="20.5703125" customWidth="1"/>
    <col min="11448" max="11448" width="16" customWidth="1"/>
    <col min="11449" max="11449" width="12.28515625" bestFit="1" customWidth="1"/>
    <col min="11450" max="11450" width="17.5703125" customWidth="1"/>
    <col min="11451" max="11451" width="16" customWidth="1"/>
    <col min="11452" max="11452" width="21" customWidth="1"/>
    <col min="11453" max="11453" width="17.5703125" customWidth="1"/>
    <col min="11454" max="11454" width="27" customWidth="1"/>
    <col min="11455" max="11457" width="23.28515625" customWidth="1"/>
    <col min="11458" max="11458" width="15.7109375" customWidth="1"/>
    <col min="11459" max="11459" width="16.42578125" customWidth="1"/>
    <col min="11460" max="11462" width="19.28515625" customWidth="1"/>
    <col min="11463" max="11464" width="5.28515625" bestFit="1" customWidth="1"/>
    <col min="11465" max="11465" width="12.7109375" customWidth="1"/>
    <col min="11466" max="11467" width="19.28515625" customWidth="1"/>
    <col min="11468" max="11470" width="13.5703125" customWidth="1"/>
    <col min="11471" max="11471" width="15.5703125" customWidth="1"/>
    <col min="11472" max="11473" width="14.7109375" customWidth="1"/>
    <col min="11474" max="11475" width="14.28515625" customWidth="1"/>
    <col min="11476" max="11476" width="13.5703125" bestFit="1" customWidth="1"/>
    <col min="11477" max="11477" width="19.5703125" customWidth="1"/>
    <col min="11478" max="11478" width="22" customWidth="1"/>
    <col min="11479" max="11479" width="14.5703125" customWidth="1"/>
    <col min="11480" max="11480" width="15" customWidth="1"/>
    <col min="11481" max="11481" width="12.5703125" bestFit="1" customWidth="1"/>
    <col min="11482" max="11482" width="14.42578125" customWidth="1"/>
    <col min="11483" max="11483" width="19.42578125" bestFit="1" customWidth="1"/>
    <col min="11484" max="11484" width="29.5703125" customWidth="1"/>
    <col min="11485" max="11485" width="8.7109375" bestFit="1" customWidth="1"/>
    <col min="11486" max="11487" width="8.7109375" customWidth="1"/>
    <col min="11488" max="11489" width="16" customWidth="1"/>
    <col min="11490" max="11490" width="17.42578125" customWidth="1"/>
    <col min="11491" max="11491" width="14.5703125" customWidth="1"/>
    <col min="11492" max="11494" width="12.5703125" customWidth="1"/>
    <col min="11495" max="11495" width="14.42578125" customWidth="1"/>
    <col min="11496" max="11496" width="12.5703125" customWidth="1"/>
    <col min="11497" max="11499" width="14.5703125" customWidth="1"/>
    <col min="11500" max="11500" width="12.5703125" customWidth="1"/>
    <col min="11501" max="11501" width="11.42578125" customWidth="1"/>
    <col min="11502" max="11510" width="15.28515625" customWidth="1"/>
    <col min="11511" max="11511" width="13" customWidth="1"/>
    <col min="11512" max="11514" width="14.28515625" customWidth="1"/>
    <col min="11515" max="11515" width="13.42578125" customWidth="1"/>
    <col min="11516" max="11518" width="19.28515625" customWidth="1"/>
    <col min="11519" max="11519" width="26.42578125" customWidth="1"/>
    <col min="11520" max="11520" width="8.5703125" customWidth="1"/>
    <col min="11521" max="11522" width="19.42578125" customWidth="1"/>
    <col min="11523" max="11523" width="17.28515625" customWidth="1"/>
    <col min="11524" max="11524" width="16.5703125" customWidth="1"/>
    <col min="11525" max="11525" width="12.42578125" bestFit="1" customWidth="1"/>
    <col min="11526" max="11532" width="12.42578125" customWidth="1"/>
    <col min="11533" max="11533" width="20.42578125" bestFit="1" customWidth="1"/>
    <col min="11534" max="11534" width="21.7109375" customWidth="1"/>
    <col min="11535" max="11535" width="17" bestFit="1" customWidth="1"/>
    <col min="11536" max="11536" width="19.42578125" bestFit="1" customWidth="1"/>
    <col min="11537" max="11537" width="10.7109375" bestFit="1" customWidth="1"/>
    <col min="11538" max="11538" width="17" customWidth="1"/>
    <col min="11539" max="11540" width="12.42578125" customWidth="1"/>
    <col min="11541" max="11542" width="18.28515625" customWidth="1"/>
    <col min="11543" max="11543" width="9.28515625" bestFit="1" customWidth="1"/>
    <col min="11544" max="11544" width="15.42578125" customWidth="1"/>
    <col min="11545" max="11545" width="8.42578125" bestFit="1" customWidth="1"/>
    <col min="11546" max="11546" width="11.5703125" customWidth="1"/>
    <col min="11547" max="11547" width="8.42578125" customWidth="1"/>
    <col min="11548" max="11548" width="10.42578125" customWidth="1"/>
    <col min="11549" max="11549" width="11.28515625" customWidth="1"/>
    <col min="11550" max="11552" width="10.5703125" customWidth="1"/>
    <col min="11553" max="11553" width="11.28515625" customWidth="1"/>
    <col min="11554" max="11556" width="10.5703125" customWidth="1"/>
    <col min="11689" max="11689" width="12.5703125" bestFit="1" customWidth="1"/>
    <col min="11690" max="11690" width="12.5703125" customWidth="1"/>
    <col min="11691" max="11691" width="13.5703125" bestFit="1" customWidth="1"/>
    <col min="11692" max="11692" width="15" bestFit="1" customWidth="1"/>
    <col min="11693" max="11693" width="15" customWidth="1"/>
    <col min="11694" max="11698" width="18.5703125" customWidth="1"/>
    <col min="11699" max="11700" width="31.42578125" customWidth="1"/>
    <col min="11701" max="11701" width="13.5703125" bestFit="1" customWidth="1"/>
    <col min="11702" max="11702" width="13.5703125" customWidth="1"/>
    <col min="11703" max="11703" width="20.5703125" customWidth="1"/>
    <col min="11704" max="11704" width="16" customWidth="1"/>
    <col min="11705" max="11705" width="12.28515625" bestFit="1" customWidth="1"/>
    <col min="11706" max="11706" width="17.5703125" customWidth="1"/>
    <col min="11707" max="11707" width="16" customWidth="1"/>
    <col min="11708" max="11708" width="21" customWidth="1"/>
    <col min="11709" max="11709" width="17.5703125" customWidth="1"/>
    <col min="11710" max="11710" width="27" customWidth="1"/>
    <col min="11711" max="11713" width="23.28515625" customWidth="1"/>
    <col min="11714" max="11714" width="15.7109375" customWidth="1"/>
    <col min="11715" max="11715" width="16.42578125" customWidth="1"/>
    <col min="11716" max="11718" width="19.28515625" customWidth="1"/>
    <col min="11719" max="11720" width="5.28515625" bestFit="1" customWidth="1"/>
    <col min="11721" max="11721" width="12.7109375" customWidth="1"/>
    <col min="11722" max="11723" width="19.28515625" customWidth="1"/>
    <col min="11724" max="11726" width="13.5703125" customWidth="1"/>
    <col min="11727" max="11727" width="15.5703125" customWidth="1"/>
    <col min="11728" max="11729" width="14.7109375" customWidth="1"/>
    <col min="11730" max="11731" width="14.28515625" customWidth="1"/>
    <col min="11732" max="11732" width="13.5703125" bestFit="1" customWidth="1"/>
    <col min="11733" max="11733" width="19.5703125" customWidth="1"/>
    <col min="11734" max="11734" width="22" customWidth="1"/>
    <col min="11735" max="11735" width="14.5703125" customWidth="1"/>
    <col min="11736" max="11736" width="15" customWidth="1"/>
    <col min="11737" max="11737" width="12.5703125" bestFit="1" customWidth="1"/>
    <col min="11738" max="11738" width="14.42578125" customWidth="1"/>
    <col min="11739" max="11739" width="19.42578125" bestFit="1" customWidth="1"/>
    <col min="11740" max="11740" width="29.5703125" customWidth="1"/>
    <col min="11741" max="11741" width="8.7109375" bestFit="1" customWidth="1"/>
    <col min="11742" max="11743" width="8.7109375" customWidth="1"/>
    <col min="11744" max="11745" width="16" customWidth="1"/>
    <col min="11746" max="11746" width="17.42578125" customWidth="1"/>
    <col min="11747" max="11747" width="14.5703125" customWidth="1"/>
    <col min="11748" max="11750" width="12.5703125" customWidth="1"/>
    <col min="11751" max="11751" width="14.42578125" customWidth="1"/>
    <col min="11752" max="11752" width="12.5703125" customWidth="1"/>
    <col min="11753" max="11755" width="14.5703125" customWidth="1"/>
    <col min="11756" max="11756" width="12.5703125" customWidth="1"/>
    <col min="11757" max="11757" width="11.42578125" customWidth="1"/>
    <col min="11758" max="11766" width="15.28515625" customWidth="1"/>
    <col min="11767" max="11767" width="13" customWidth="1"/>
    <col min="11768" max="11770" width="14.28515625" customWidth="1"/>
    <col min="11771" max="11771" width="13.42578125" customWidth="1"/>
    <col min="11772" max="11774" width="19.28515625" customWidth="1"/>
    <col min="11775" max="11775" width="26.42578125" customWidth="1"/>
    <col min="11776" max="11776" width="8.5703125" customWidth="1"/>
    <col min="11777" max="11778" width="19.42578125" customWidth="1"/>
    <col min="11779" max="11779" width="17.28515625" customWidth="1"/>
    <col min="11780" max="11780" width="16.5703125" customWidth="1"/>
    <col min="11781" max="11781" width="12.42578125" bestFit="1" customWidth="1"/>
    <col min="11782" max="11788" width="12.42578125" customWidth="1"/>
    <col min="11789" max="11789" width="20.42578125" bestFit="1" customWidth="1"/>
    <col min="11790" max="11790" width="21.7109375" customWidth="1"/>
    <col min="11791" max="11791" width="17" bestFit="1" customWidth="1"/>
    <col min="11792" max="11792" width="19.42578125" bestFit="1" customWidth="1"/>
    <col min="11793" max="11793" width="10.7109375" bestFit="1" customWidth="1"/>
    <col min="11794" max="11794" width="17" customWidth="1"/>
    <col min="11795" max="11796" width="12.42578125" customWidth="1"/>
    <col min="11797" max="11798" width="18.28515625" customWidth="1"/>
    <col min="11799" max="11799" width="9.28515625" bestFit="1" customWidth="1"/>
    <col min="11800" max="11800" width="15.42578125" customWidth="1"/>
    <col min="11801" max="11801" width="8.42578125" bestFit="1" customWidth="1"/>
    <col min="11802" max="11802" width="11.5703125" customWidth="1"/>
    <col min="11803" max="11803" width="8.42578125" customWidth="1"/>
    <col min="11804" max="11804" width="10.42578125" customWidth="1"/>
    <col min="11805" max="11805" width="11.28515625" customWidth="1"/>
    <col min="11806" max="11808" width="10.5703125" customWidth="1"/>
    <col min="11809" max="11809" width="11.28515625" customWidth="1"/>
    <col min="11810" max="11812" width="10.5703125" customWidth="1"/>
    <col min="11945" max="11945" width="12.5703125" bestFit="1" customWidth="1"/>
    <col min="11946" max="11946" width="12.5703125" customWidth="1"/>
    <col min="11947" max="11947" width="13.5703125" bestFit="1" customWidth="1"/>
    <col min="11948" max="11948" width="15" bestFit="1" customWidth="1"/>
    <col min="11949" max="11949" width="15" customWidth="1"/>
    <col min="11950" max="11954" width="18.5703125" customWidth="1"/>
    <col min="11955" max="11956" width="31.42578125" customWidth="1"/>
    <col min="11957" max="11957" width="13.5703125" bestFit="1" customWidth="1"/>
    <col min="11958" max="11958" width="13.5703125" customWidth="1"/>
    <col min="11959" max="11959" width="20.5703125" customWidth="1"/>
    <col min="11960" max="11960" width="16" customWidth="1"/>
    <col min="11961" max="11961" width="12.28515625" bestFit="1" customWidth="1"/>
    <col min="11962" max="11962" width="17.5703125" customWidth="1"/>
    <col min="11963" max="11963" width="16" customWidth="1"/>
    <col min="11964" max="11964" width="21" customWidth="1"/>
    <col min="11965" max="11965" width="17.5703125" customWidth="1"/>
    <col min="11966" max="11966" width="27" customWidth="1"/>
    <col min="11967" max="11969" width="23.28515625" customWidth="1"/>
    <col min="11970" max="11970" width="15.7109375" customWidth="1"/>
    <col min="11971" max="11971" width="16.42578125" customWidth="1"/>
    <col min="11972" max="11974" width="19.28515625" customWidth="1"/>
    <col min="11975" max="11976" width="5.28515625" bestFit="1" customWidth="1"/>
    <col min="11977" max="11977" width="12.7109375" customWidth="1"/>
    <col min="11978" max="11979" width="19.28515625" customWidth="1"/>
    <col min="11980" max="11982" width="13.5703125" customWidth="1"/>
    <col min="11983" max="11983" width="15.5703125" customWidth="1"/>
    <col min="11984" max="11985" width="14.7109375" customWidth="1"/>
    <col min="11986" max="11987" width="14.28515625" customWidth="1"/>
    <col min="11988" max="11988" width="13.5703125" bestFit="1" customWidth="1"/>
    <col min="11989" max="11989" width="19.5703125" customWidth="1"/>
    <col min="11990" max="11990" width="22" customWidth="1"/>
    <col min="11991" max="11991" width="14.5703125" customWidth="1"/>
    <col min="11992" max="11992" width="15" customWidth="1"/>
    <col min="11993" max="11993" width="12.5703125" bestFit="1" customWidth="1"/>
    <col min="11994" max="11994" width="14.42578125" customWidth="1"/>
    <col min="11995" max="11995" width="19.42578125" bestFit="1" customWidth="1"/>
    <col min="11996" max="11996" width="29.5703125" customWidth="1"/>
    <col min="11997" max="11997" width="8.7109375" bestFit="1" customWidth="1"/>
    <col min="11998" max="11999" width="8.7109375" customWidth="1"/>
    <col min="12000" max="12001" width="16" customWidth="1"/>
    <col min="12002" max="12002" width="17.42578125" customWidth="1"/>
    <col min="12003" max="12003" width="14.5703125" customWidth="1"/>
    <col min="12004" max="12006" width="12.5703125" customWidth="1"/>
    <col min="12007" max="12007" width="14.42578125" customWidth="1"/>
    <col min="12008" max="12008" width="12.5703125" customWidth="1"/>
    <col min="12009" max="12011" width="14.5703125" customWidth="1"/>
    <col min="12012" max="12012" width="12.5703125" customWidth="1"/>
    <col min="12013" max="12013" width="11.42578125" customWidth="1"/>
    <col min="12014" max="12022" width="15.28515625" customWidth="1"/>
    <col min="12023" max="12023" width="13" customWidth="1"/>
    <col min="12024" max="12026" width="14.28515625" customWidth="1"/>
    <col min="12027" max="12027" width="13.42578125" customWidth="1"/>
    <col min="12028" max="12030" width="19.28515625" customWidth="1"/>
    <col min="12031" max="12031" width="26.42578125" customWidth="1"/>
    <col min="12032" max="12032" width="8.5703125" customWidth="1"/>
    <col min="12033" max="12034" width="19.42578125" customWidth="1"/>
    <col min="12035" max="12035" width="17.28515625" customWidth="1"/>
    <col min="12036" max="12036" width="16.5703125" customWidth="1"/>
    <col min="12037" max="12037" width="12.42578125" bestFit="1" customWidth="1"/>
    <col min="12038" max="12044" width="12.42578125" customWidth="1"/>
    <col min="12045" max="12045" width="20.42578125" bestFit="1" customWidth="1"/>
    <col min="12046" max="12046" width="21.7109375" customWidth="1"/>
    <col min="12047" max="12047" width="17" bestFit="1" customWidth="1"/>
    <col min="12048" max="12048" width="19.42578125" bestFit="1" customWidth="1"/>
    <col min="12049" max="12049" width="10.7109375" bestFit="1" customWidth="1"/>
    <col min="12050" max="12050" width="17" customWidth="1"/>
    <col min="12051" max="12052" width="12.42578125" customWidth="1"/>
    <col min="12053" max="12054" width="18.28515625" customWidth="1"/>
    <col min="12055" max="12055" width="9.28515625" bestFit="1" customWidth="1"/>
    <col min="12056" max="12056" width="15.42578125" customWidth="1"/>
    <col min="12057" max="12057" width="8.42578125" bestFit="1" customWidth="1"/>
    <col min="12058" max="12058" width="11.5703125" customWidth="1"/>
    <col min="12059" max="12059" width="8.42578125" customWidth="1"/>
    <col min="12060" max="12060" width="10.42578125" customWidth="1"/>
    <col min="12061" max="12061" width="11.28515625" customWidth="1"/>
    <col min="12062" max="12064" width="10.5703125" customWidth="1"/>
    <col min="12065" max="12065" width="11.28515625" customWidth="1"/>
    <col min="12066" max="12068" width="10.5703125" customWidth="1"/>
    <col min="12201" max="12201" width="12.5703125" bestFit="1" customWidth="1"/>
    <col min="12202" max="12202" width="12.5703125" customWidth="1"/>
    <col min="12203" max="12203" width="13.5703125" bestFit="1" customWidth="1"/>
    <col min="12204" max="12204" width="15" bestFit="1" customWidth="1"/>
    <col min="12205" max="12205" width="15" customWidth="1"/>
    <col min="12206" max="12210" width="18.5703125" customWidth="1"/>
    <col min="12211" max="12212" width="31.42578125" customWidth="1"/>
    <col min="12213" max="12213" width="13.5703125" bestFit="1" customWidth="1"/>
    <col min="12214" max="12214" width="13.5703125" customWidth="1"/>
    <col min="12215" max="12215" width="20.5703125" customWidth="1"/>
    <col min="12216" max="12216" width="16" customWidth="1"/>
    <col min="12217" max="12217" width="12.28515625" bestFit="1" customWidth="1"/>
    <col min="12218" max="12218" width="17.5703125" customWidth="1"/>
    <col min="12219" max="12219" width="16" customWidth="1"/>
    <col min="12220" max="12220" width="21" customWidth="1"/>
    <col min="12221" max="12221" width="17.5703125" customWidth="1"/>
    <col min="12222" max="12222" width="27" customWidth="1"/>
    <col min="12223" max="12225" width="23.28515625" customWidth="1"/>
    <col min="12226" max="12226" width="15.7109375" customWidth="1"/>
    <col min="12227" max="12227" width="16.42578125" customWidth="1"/>
    <col min="12228" max="12230" width="19.28515625" customWidth="1"/>
    <col min="12231" max="12232" width="5.28515625" bestFit="1" customWidth="1"/>
    <col min="12233" max="12233" width="12.7109375" customWidth="1"/>
    <col min="12234" max="12235" width="19.28515625" customWidth="1"/>
    <col min="12236" max="12238" width="13.5703125" customWidth="1"/>
    <col min="12239" max="12239" width="15.5703125" customWidth="1"/>
    <col min="12240" max="12241" width="14.7109375" customWidth="1"/>
    <col min="12242" max="12243" width="14.28515625" customWidth="1"/>
    <col min="12244" max="12244" width="13.5703125" bestFit="1" customWidth="1"/>
    <col min="12245" max="12245" width="19.5703125" customWidth="1"/>
    <col min="12246" max="12246" width="22" customWidth="1"/>
    <col min="12247" max="12247" width="14.5703125" customWidth="1"/>
    <col min="12248" max="12248" width="15" customWidth="1"/>
    <col min="12249" max="12249" width="12.5703125" bestFit="1" customWidth="1"/>
    <col min="12250" max="12250" width="14.42578125" customWidth="1"/>
    <col min="12251" max="12251" width="19.42578125" bestFit="1" customWidth="1"/>
    <col min="12252" max="12252" width="29.5703125" customWidth="1"/>
    <col min="12253" max="12253" width="8.7109375" bestFit="1" customWidth="1"/>
    <col min="12254" max="12255" width="8.7109375" customWidth="1"/>
    <col min="12256" max="12257" width="16" customWidth="1"/>
    <col min="12258" max="12258" width="17.42578125" customWidth="1"/>
    <col min="12259" max="12259" width="14.5703125" customWidth="1"/>
    <col min="12260" max="12262" width="12.5703125" customWidth="1"/>
    <col min="12263" max="12263" width="14.42578125" customWidth="1"/>
    <col min="12264" max="12264" width="12.5703125" customWidth="1"/>
    <col min="12265" max="12267" width="14.5703125" customWidth="1"/>
    <col min="12268" max="12268" width="12.5703125" customWidth="1"/>
    <col min="12269" max="12269" width="11.42578125" customWidth="1"/>
    <col min="12270" max="12278" width="15.28515625" customWidth="1"/>
    <col min="12279" max="12279" width="13" customWidth="1"/>
    <col min="12280" max="12282" width="14.28515625" customWidth="1"/>
    <col min="12283" max="12283" width="13.42578125" customWidth="1"/>
    <col min="12284" max="12286" width="19.28515625" customWidth="1"/>
    <col min="12287" max="12287" width="26.42578125" customWidth="1"/>
    <col min="12288" max="12288" width="8.5703125" customWidth="1"/>
    <col min="12289" max="12290" width="19.42578125" customWidth="1"/>
    <col min="12291" max="12291" width="17.28515625" customWidth="1"/>
    <col min="12292" max="12292" width="16.5703125" customWidth="1"/>
    <col min="12293" max="12293" width="12.42578125" bestFit="1" customWidth="1"/>
    <col min="12294" max="12300" width="12.42578125" customWidth="1"/>
    <col min="12301" max="12301" width="20.42578125" bestFit="1" customWidth="1"/>
    <col min="12302" max="12302" width="21.7109375" customWidth="1"/>
    <col min="12303" max="12303" width="17" bestFit="1" customWidth="1"/>
    <col min="12304" max="12304" width="19.42578125" bestFit="1" customWidth="1"/>
    <col min="12305" max="12305" width="10.7109375" bestFit="1" customWidth="1"/>
    <col min="12306" max="12306" width="17" customWidth="1"/>
    <col min="12307" max="12308" width="12.42578125" customWidth="1"/>
    <col min="12309" max="12310" width="18.28515625" customWidth="1"/>
    <col min="12311" max="12311" width="9.28515625" bestFit="1" customWidth="1"/>
    <col min="12312" max="12312" width="15.42578125" customWidth="1"/>
    <col min="12313" max="12313" width="8.42578125" bestFit="1" customWidth="1"/>
    <col min="12314" max="12314" width="11.5703125" customWidth="1"/>
    <col min="12315" max="12315" width="8.42578125" customWidth="1"/>
    <col min="12316" max="12316" width="10.42578125" customWidth="1"/>
    <col min="12317" max="12317" width="11.28515625" customWidth="1"/>
    <col min="12318" max="12320" width="10.5703125" customWidth="1"/>
    <col min="12321" max="12321" width="11.28515625" customWidth="1"/>
    <col min="12322" max="12324" width="10.5703125" customWidth="1"/>
    <col min="12457" max="12457" width="12.5703125" bestFit="1" customWidth="1"/>
    <col min="12458" max="12458" width="12.5703125" customWidth="1"/>
    <col min="12459" max="12459" width="13.5703125" bestFit="1" customWidth="1"/>
    <col min="12460" max="12460" width="15" bestFit="1" customWidth="1"/>
    <col min="12461" max="12461" width="15" customWidth="1"/>
    <col min="12462" max="12466" width="18.5703125" customWidth="1"/>
    <col min="12467" max="12468" width="31.42578125" customWidth="1"/>
    <col min="12469" max="12469" width="13.5703125" bestFit="1" customWidth="1"/>
    <col min="12470" max="12470" width="13.5703125" customWidth="1"/>
    <col min="12471" max="12471" width="20.5703125" customWidth="1"/>
    <col min="12472" max="12472" width="16" customWidth="1"/>
    <col min="12473" max="12473" width="12.28515625" bestFit="1" customWidth="1"/>
    <col min="12474" max="12474" width="17.5703125" customWidth="1"/>
    <col min="12475" max="12475" width="16" customWidth="1"/>
    <col min="12476" max="12476" width="21" customWidth="1"/>
    <col min="12477" max="12477" width="17.5703125" customWidth="1"/>
    <col min="12478" max="12478" width="27" customWidth="1"/>
    <col min="12479" max="12481" width="23.28515625" customWidth="1"/>
    <col min="12482" max="12482" width="15.7109375" customWidth="1"/>
    <col min="12483" max="12483" width="16.42578125" customWidth="1"/>
    <col min="12484" max="12486" width="19.28515625" customWidth="1"/>
    <col min="12487" max="12488" width="5.28515625" bestFit="1" customWidth="1"/>
    <col min="12489" max="12489" width="12.7109375" customWidth="1"/>
    <col min="12490" max="12491" width="19.28515625" customWidth="1"/>
    <col min="12492" max="12494" width="13.5703125" customWidth="1"/>
    <col min="12495" max="12495" width="15.5703125" customWidth="1"/>
    <col min="12496" max="12497" width="14.7109375" customWidth="1"/>
    <col min="12498" max="12499" width="14.28515625" customWidth="1"/>
    <col min="12500" max="12500" width="13.5703125" bestFit="1" customWidth="1"/>
    <col min="12501" max="12501" width="19.5703125" customWidth="1"/>
    <col min="12502" max="12502" width="22" customWidth="1"/>
    <col min="12503" max="12503" width="14.5703125" customWidth="1"/>
    <col min="12504" max="12504" width="15" customWidth="1"/>
    <col min="12505" max="12505" width="12.5703125" bestFit="1" customWidth="1"/>
    <col min="12506" max="12506" width="14.42578125" customWidth="1"/>
    <col min="12507" max="12507" width="19.42578125" bestFit="1" customWidth="1"/>
    <col min="12508" max="12508" width="29.5703125" customWidth="1"/>
    <col min="12509" max="12509" width="8.7109375" bestFit="1" customWidth="1"/>
    <col min="12510" max="12511" width="8.7109375" customWidth="1"/>
    <col min="12512" max="12513" width="16" customWidth="1"/>
    <col min="12514" max="12514" width="17.42578125" customWidth="1"/>
    <col min="12515" max="12515" width="14.5703125" customWidth="1"/>
    <col min="12516" max="12518" width="12.5703125" customWidth="1"/>
    <col min="12519" max="12519" width="14.42578125" customWidth="1"/>
    <col min="12520" max="12520" width="12.5703125" customWidth="1"/>
    <col min="12521" max="12523" width="14.5703125" customWidth="1"/>
    <col min="12524" max="12524" width="12.5703125" customWidth="1"/>
    <col min="12525" max="12525" width="11.42578125" customWidth="1"/>
    <col min="12526" max="12534" width="15.28515625" customWidth="1"/>
    <col min="12535" max="12535" width="13" customWidth="1"/>
    <col min="12536" max="12538" width="14.28515625" customWidth="1"/>
    <col min="12539" max="12539" width="13.42578125" customWidth="1"/>
    <col min="12540" max="12542" width="19.28515625" customWidth="1"/>
    <col min="12543" max="12543" width="26.42578125" customWidth="1"/>
    <col min="12544" max="12544" width="8.5703125" customWidth="1"/>
    <col min="12545" max="12546" width="19.42578125" customWidth="1"/>
    <col min="12547" max="12547" width="17.28515625" customWidth="1"/>
    <col min="12548" max="12548" width="16.5703125" customWidth="1"/>
    <col min="12549" max="12549" width="12.42578125" bestFit="1" customWidth="1"/>
    <col min="12550" max="12556" width="12.42578125" customWidth="1"/>
    <col min="12557" max="12557" width="20.42578125" bestFit="1" customWidth="1"/>
    <col min="12558" max="12558" width="21.7109375" customWidth="1"/>
    <col min="12559" max="12559" width="17" bestFit="1" customWidth="1"/>
    <col min="12560" max="12560" width="19.42578125" bestFit="1" customWidth="1"/>
    <col min="12561" max="12561" width="10.7109375" bestFit="1" customWidth="1"/>
    <col min="12562" max="12562" width="17" customWidth="1"/>
    <col min="12563" max="12564" width="12.42578125" customWidth="1"/>
    <col min="12565" max="12566" width="18.28515625" customWidth="1"/>
    <col min="12567" max="12567" width="9.28515625" bestFit="1" customWidth="1"/>
    <col min="12568" max="12568" width="15.42578125" customWidth="1"/>
    <col min="12569" max="12569" width="8.42578125" bestFit="1" customWidth="1"/>
    <col min="12570" max="12570" width="11.5703125" customWidth="1"/>
    <col min="12571" max="12571" width="8.42578125" customWidth="1"/>
    <col min="12572" max="12572" width="10.42578125" customWidth="1"/>
    <col min="12573" max="12573" width="11.28515625" customWidth="1"/>
    <col min="12574" max="12576" width="10.5703125" customWidth="1"/>
    <col min="12577" max="12577" width="11.28515625" customWidth="1"/>
    <col min="12578" max="12580" width="10.5703125" customWidth="1"/>
    <col min="12713" max="12713" width="12.5703125" bestFit="1" customWidth="1"/>
    <col min="12714" max="12714" width="12.5703125" customWidth="1"/>
    <col min="12715" max="12715" width="13.5703125" bestFit="1" customWidth="1"/>
    <col min="12716" max="12716" width="15" bestFit="1" customWidth="1"/>
    <col min="12717" max="12717" width="15" customWidth="1"/>
    <col min="12718" max="12722" width="18.5703125" customWidth="1"/>
    <col min="12723" max="12724" width="31.42578125" customWidth="1"/>
    <col min="12725" max="12725" width="13.5703125" bestFit="1" customWidth="1"/>
    <col min="12726" max="12726" width="13.5703125" customWidth="1"/>
    <col min="12727" max="12727" width="20.5703125" customWidth="1"/>
    <col min="12728" max="12728" width="16" customWidth="1"/>
    <col min="12729" max="12729" width="12.28515625" bestFit="1" customWidth="1"/>
    <col min="12730" max="12730" width="17.5703125" customWidth="1"/>
    <col min="12731" max="12731" width="16" customWidth="1"/>
    <col min="12732" max="12732" width="21" customWidth="1"/>
    <col min="12733" max="12733" width="17.5703125" customWidth="1"/>
    <col min="12734" max="12734" width="27" customWidth="1"/>
    <col min="12735" max="12737" width="23.28515625" customWidth="1"/>
    <col min="12738" max="12738" width="15.7109375" customWidth="1"/>
    <col min="12739" max="12739" width="16.42578125" customWidth="1"/>
    <col min="12740" max="12742" width="19.28515625" customWidth="1"/>
    <col min="12743" max="12744" width="5.28515625" bestFit="1" customWidth="1"/>
    <col min="12745" max="12745" width="12.7109375" customWidth="1"/>
    <col min="12746" max="12747" width="19.28515625" customWidth="1"/>
    <col min="12748" max="12750" width="13.5703125" customWidth="1"/>
    <col min="12751" max="12751" width="15.5703125" customWidth="1"/>
    <col min="12752" max="12753" width="14.7109375" customWidth="1"/>
    <col min="12754" max="12755" width="14.28515625" customWidth="1"/>
    <col min="12756" max="12756" width="13.5703125" bestFit="1" customWidth="1"/>
    <col min="12757" max="12757" width="19.5703125" customWidth="1"/>
    <col min="12758" max="12758" width="22" customWidth="1"/>
    <col min="12759" max="12759" width="14.5703125" customWidth="1"/>
    <col min="12760" max="12760" width="15" customWidth="1"/>
    <col min="12761" max="12761" width="12.5703125" bestFit="1" customWidth="1"/>
    <col min="12762" max="12762" width="14.42578125" customWidth="1"/>
    <col min="12763" max="12763" width="19.42578125" bestFit="1" customWidth="1"/>
    <col min="12764" max="12764" width="29.5703125" customWidth="1"/>
    <col min="12765" max="12765" width="8.7109375" bestFit="1" customWidth="1"/>
    <col min="12766" max="12767" width="8.7109375" customWidth="1"/>
    <col min="12768" max="12769" width="16" customWidth="1"/>
    <col min="12770" max="12770" width="17.42578125" customWidth="1"/>
    <col min="12771" max="12771" width="14.5703125" customWidth="1"/>
    <col min="12772" max="12774" width="12.5703125" customWidth="1"/>
    <col min="12775" max="12775" width="14.42578125" customWidth="1"/>
    <col min="12776" max="12776" width="12.5703125" customWidth="1"/>
    <col min="12777" max="12779" width="14.5703125" customWidth="1"/>
    <col min="12780" max="12780" width="12.5703125" customWidth="1"/>
    <col min="12781" max="12781" width="11.42578125" customWidth="1"/>
    <col min="12782" max="12790" width="15.28515625" customWidth="1"/>
    <col min="12791" max="12791" width="13" customWidth="1"/>
    <col min="12792" max="12794" width="14.28515625" customWidth="1"/>
    <col min="12795" max="12795" width="13.42578125" customWidth="1"/>
    <col min="12796" max="12798" width="19.28515625" customWidth="1"/>
    <col min="12799" max="12799" width="26.42578125" customWidth="1"/>
    <col min="12800" max="12800" width="8.5703125" customWidth="1"/>
    <col min="12801" max="12802" width="19.42578125" customWidth="1"/>
    <col min="12803" max="12803" width="17.28515625" customWidth="1"/>
    <col min="12804" max="12804" width="16.5703125" customWidth="1"/>
    <col min="12805" max="12805" width="12.42578125" bestFit="1" customWidth="1"/>
    <col min="12806" max="12812" width="12.42578125" customWidth="1"/>
    <col min="12813" max="12813" width="20.42578125" bestFit="1" customWidth="1"/>
    <col min="12814" max="12814" width="21.7109375" customWidth="1"/>
    <col min="12815" max="12815" width="17" bestFit="1" customWidth="1"/>
    <col min="12816" max="12816" width="19.42578125" bestFit="1" customWidth="1"/>
    <col min="12817" max="12817" width="10.7109375" bestFit="1" customWidth="1"/>
    <col min="12818" max="12818" width="17" customWidth="1"/>
    <col min="12819" max="12820" width="12.42578125" customWidth="1"/>
    <col min="12821" max="12822" width="18.28515625" customWidth="1"/>
    <col min="12823" max="12823" width="9.28515625" bestFit="1" customWidth="1"/>
    <col min="12824" max="12824" width="15.42578125" customWidth="1"/>
    <col min="12825" max="12825" width="8.42578125" bestFit="1" customWidth="1"/>
    <col min="12826" max="12826" width="11.5703125" customWidth="1"/>
    <col min="12827" max="12827" width="8.42578125" customWidth="1"/>
    <col min="12828" max="12828" width="10.42578125" customWidth="1"/>
    <col min="12829" max="12829" width="11.28515625" customWidth="1"/>
    <col min="12830" max="12832" width="10.5703125" customWidth="1"/>
    <col min="12833" max="12833" width="11.28515625" customWidth="1"/>
    <col min="12834" max="12836" width="10.5703125" customWidth="1"/>
    <col min="12969" max="12969" width="12.5703125" bestFit="1" customWidth="1"/>
    <col min="12970" max="12970" width="12.5703125" customWidth="1"/>
    <col min="12971" max="12971" width="13.5703125" bestFit="1" customWidth="1"/>
    <col min="12972" max="12972" width="15" bestFit="1" customWidth="1"/>
    <col min="12973" max="12973" width="15" customWidth="1"/>
    <col min="12974" max="12978" width="18.5703125" customWidth="1"/>
    <col min="12979" max="12980" width="31.42578125" customWidth="1"/>
    <col min="12981" max="12981" width="13.5703125" bestFit="1" customWidth="1"/>
    <col min="12982" max="12982" width="13.5703125" customWidth="1"/>
    <col min="12983" max="12983" width="20.5703125" customWidth="1"/>
    <col min="12984" max="12984" width="16" customWidth="1"/>
    <col min="12985" max="12985" width="12.28515625" bestFit="1" customWidth="1"/>
    <col min="12986" max="12986" width="17.5703125" customWidth="1"/>
    <col min="12987" max="12987" width="16" customWidth="1"/>
    <col min="12988" max="12988" width="21" customWidth="1"/>
    <col min="12989" max="12989" width="17.5703125" customWidth="1"/>
    <col min="12990" max="12990" width="27" customWidth="1"/>
    <col min="12991" max="12993" width="23.28515625" customWidth="1"/>
    <col min="12994" max="12994" width="15.7109375" customWidth="1"/>
    <col min="12995" max="12995" width="16.42578125" customWidth="1"/>
    <col min="12996" max="12998" width="19.28515625" customWidth="1"/>
    <col min="12999" max="13000" width="5.28515625" bestFit="1" customWidth="1"/>
    <col min="13001" max="13001" width="12.7109375" customWidth="1"/>
    <col min="13002" max="13003" width="19.28515625" customWidth="1"/>
    <col min="13004" max="13006" width="13.5703125" customWidth="1"/>
    <col min="13007" max="13007" width="15.5703125" customWidth="1"/>
    <col min="13008" max="13009" width="14.7109375" customWidth="1"/>
    <col min="13010" max="13011" width="14.28515625" customWidth="1"/>
    <col min="13012" max="13012" width="13.5703125" bestFit="1" customWidth="1"/>
    <col min="13013" max="13013" width="19.5703125" customWidth="1"/>
    <col min="13014" max="13014" width="22" customWidth="1"/>
    <col min="13015" max="13015" width="14.5703125" customWidth="1"/>
    <col min="13016" max="13016" width="15" customWidth="1"/>
    <col min="13017" max="13017" width="12.5703125" bestFit="1" customWidth="1"/>
    <col min="13018" max="13018" width="14.42578125" customWidth="1"/>
    <col min="13019" max="13019" width="19.42578125" bestFit="1" customWidth="1"/>
    <col min="13020" max="13020" width="29.5703125" customWidth="1"/>
    <col min="13021" max="13021" width="8.7109375" bestFit="1" customWidth="1"/>
    <col min="13022" max="13023" width="8.7109375" customWidth="1"/>
    <col min="13024" max="13025" width="16" customWidth="1"/>
    <col min="13026" max="13026" width="17.42578125" customWidth="1"/>
    <col min="13027" max="13027" width="14.5703125" customWidth="1"/>
    <col min="13028" max="13030" width="12.5703125" customWidth="1"/>
    <col min="13031" max="13031" width="14.42578125" customWidth="1"/>
    <col min="13032" max="13032" width="12.5703125" customWidth="1"/>
    <col min="13033" max="13035" width="14.5703125" customWidth="1"/>
    <col min="13036" max="13036" width="12.5703125" customWidth="1"/>
    <col min="13037" max="13037" width="11.42578125" customWidth="1"/>
    <col min="13038" max="13046" width="15.28515625" customWidth="1"/>
    <col min="13047" max="13047" width="13" customWidth="1"/>
    <col min="13048" max="13050" width="14.28515625" customWidth="1"/>
    <col min="13051" max="13051" width="13.42578125" customWidth="1"/>
    <col min="13052" max="13054" width="19.28515625" customWidth="1"/>
    <col min="13055" max="13055" width="26.42578125" customWidth="1"/>
    <col min="13056" max="13056" width="8.5703125" customWidth="1"/>
    <col min="13057" max="13058" width="19.42578125" customWidth="1"/>
    <col min="13059" max="13059" width="17.28515625" customWidth="1"/>
    <col min="13060" max="13060" width="16.5703125" customWidth="1"/>
    <col min="13061" max="13061" width="12.42578125" bestFit="1" customWidth="1"/>
    <col min="13062" max="13068" width="12.42578125" customWidth="1"/>
    <col min="13069" max="13069" width="20.42578125" bestFit="1" customWidth="1"/>
    <col min="13070" max="13070" width="21.7109375" customWidth="1"/>
    <col min="13071" max="13071" width="17" bestFit="1" customWidth="1"/>
    <col min="13072" max="13072" width="19.42578125" bestFit="1" customWidth="1"/>
    <col min="13073" max="13073" width="10.7109375" bestFit="1" customWidth="1"/>
    <col min="13074" max="13074" width="17" customWidth="1"/>
    <col min="13075" max="13076" width="12.42578125" customWidth="1"/>
    <col min="13077" max="13078" width="18.28515625" customWidth="1"/>
    <col min="13079" max="13079" width="9.28515625" bestFit="1" customWidth="1"/>
    <col min="13080" max="13080" width="15.42578125" customWidth="1"/>
    <col min="13081" max="13081" width="8.42578125" bestFit="1" customWidth="1"/>
    <col min="13082" max="13082" width="11.5703125" customWidth="1"/>
    <col min="13083" max="13083" width="8.42578125" customWidth="1"/>
    <col min="13084" max="13084" width="10.42578125" customWidth="1"/>
    <col min="13085" max="13085" width="11.28515625" customWidth="1"/>
    <col min="13086" max="13088" width="10.5703125" customWidth="1"/>
    <col min="13089" max="13089" width="11.28515625" customWidth="1"/>
    <col min="13090" max="13092" width="10.5703125" customWidth="1"/>
    <col min="13225" max="13225" width="12.5703125" bestFit="1" customWidth="1"/>
    <col min="13226" max="13226" width="12.5703125" customWidth="1"/>
    <col min="13227" max="13227" width="13.5703125" bestFit="1" customWidth="1"/>
    <col min="13228" max="13228" width="15" bestFit="1" customWidth="1"/>
    <col min="13229" max="13229" width="15" customWidth="1"/>
    <col min="13230" max="13234" width="18.5703125" customWidth="1"/>
    <col min="13235" max="13236" width="31.42578125" customWidth="1"/>
    <col min="13237" max="13237" width="13.5703125" bestFit="1" customWidth="1"/>
    <col min="13238" max="13238" width="13.5703125" customWidth="1"/>
    <col min="13239" max="13239" width="20.5703125" customWidth="1"/>
    <col min="13240" max="13240" width="16" customWidth="1"/>
    <col min="13241" max="13241" width="12.28515625" bestFit="1" customWidth="1"/>
    <col min="13242" max="13242" width="17.5703125" customWidth="1"/>
    <col min="13243" max="13243" width="16" customWidth="1"/>
    <col min="13244" max="13244" width="21" customWidth="1"/>
    <col min="13245" max="13245" width="17.5703125" customWidth="1"/>
    <col min="13246" max="13246" width="27" customWidth="1"/>
    <col min="13247" max="13249" width="23.28515625" customWidth="1"/>
    <col min="13250" max="13250" width="15.7109375" customWidth="1"/>
    <col min="13251" max="13251" width="16.42578125" customWidth="1"/>
    <col min="13252" max="13254" width="19.28515625" customWidth="1"/>
    <col min="13255" max="13256" width="5.28515625" bestFit="1" customWidth="1"/>
    <col min="13257" max="13257" width="12.7109375" customWidth="1"/>
    <col min="13258" max="13259" width="19.28515625" customWidth="1"/>
    <col min="13260" max="13262" width="13.5703125" customWidth="1"/>
    <col min="13263" max="13263" width="15.5703125" customWidth="1"/>
    <col min="13264" max="13265" width="14.7109375" customWidth="1"/>
    <col min="13266" max="13267" width="14.28515625" customWidth="1"/>
    <col min="13268" max="13268" width="13.5703125" bestFit="1" customWidth="1"/>
    <col min="13269" max="13269" width="19.5703125" customWidth="1"/>
    <col min="13270" max="13270" width="22" customWidth="1"/>
    <col min="13271" max="13271" width="14.5703125" customWidth="1"/>
    <col min="13272" max="13272" width="15" customWidth="1"/>
    <col min="13273" max="13273" width="12.5703125" bestFit="1" customWidth="1"/>
    <col min="13274" max="13274" width="14.42578125" customWidth="1"/>
    <col min="13275" max="13275" width="19.42578125" bestFit="1" customWidth="1"/>
    <col min="13276" max="13276" width="29.5703125" customWidth="1"/>
    <col min="13277" max="13277" width="8.7109375" bestFit="1" customWidth="1"/>
    <col min="13278" max="13279" width="8.7109375" customWidth="1"/>
    <col min="13280" max="13281" width="16" customWidth="1"/>
    <col min="13282" max="13282" width="17.42578125" customWidth="1"/>
    <col min="13283" max="13283" width="14.5703125" customWidth="1"/>
    <col min="13284" max="13286" width="12.5703125" customWidth="1"/>
    <col min="13287" max="13287" width="14.42578125" customWidth="1"/>
    <col min="13288" max="13288" width="12.5703125" customWidth="1"/>
    <col min="13289" max="13291" width="14.5703125" customWidth="1"/>
    <col min="13292" max="13292" width="12.5703125" customWidth="1"/>
    <col min="13293" max="13293" width="11.42578125" customWidth="1"/>
    <col min="13294" max="13302" width="15.28515625" customWidth="1"/>
    <col min="13303" max="13303" width="13" customWidth="1"/>
    <col min="13304" max="13306" width="14.28515625" customWidth="1"/>
    <col min="13307" max="13307" width="13.42578125" customWidth="1"/>
    <col min="13308" max="13310" width="19.28515625" customWidth="1"/>
    <col min="13311" max="13311" width="26.42578125" customWidth="1"/>
    <col min="13312" max="13312" width="8.5703125" customWidth="1"/>
    <col min="13313" max="13314" width="19.42578125" customWidth="1"/>
    <col min="13315" max="13315" width="17.28515625" customWidth="1"/>
    <col min="13316" max="13316" width="16.5703125" customWidth="1"/>
    <col min="13317" max="13317" width="12.42578125" bestFit="1" customWidth="1"/>
    <col min="13318" max="13324" width="12.42578125" customWidth="1"/>
    <col min="13325" max="13325" width="20.42578125" bestFit="1" customWidth="1"/>
    <col min="13326" max="13326" width="21.7109375" customWidth="1"/>
    <col min="13327" max="13327" width="17" bestFit="1" customWidth="1"/>
    <col min="13328" max="13328" width="19.42578125" bestFit="1" customWidth="1"/>
    <col min="13329" max="13329" width="10.7109375" bestFit="1" customWidth="1"/>
    <col min="13330" max="13330" width="17" customWidth="1"/>
    <col min="13331" max="13332" width="12.42578125" customWidth="1"/>
    <col min="13333" max="13334" width="18.28515625" customWidth="1"/>
    <col min="13335" max="13335" width="9.28515625" bestFit="1" customWidth="1"/>
    <col min="13336" max="13336" width="15.42578125" customWidth="1"/>
    <col min="13337" max="13337" width="8.42578125" bestFit="1" customWidth="1"/>
    <col min="13338" max="13338" width="11.5703125" customWidth="1"/>
    <col min="13339" max="13339" width="8.42578125" customWidth="1"/>
    <col min="13340" max="13340" width="10.42578125" customWidth="1"/>
    <col min="13341" max="13341" width="11.28515625" customWidth="1"/>
    <col min="13342" max="13344" width="10.5703125" customWidth="1"/>
    <col min="13345" max="13345" width="11.28515625" customWidth="1"/>
    <col min="13346" max="13348" width="10.5703125" customWidth="1"/>
    <col min="13481" max="13481" width="12.5703125" bestFit="1" customWidth="1"/>
    <col min="13482" max="13482" width="12.5703125" customWidth="1"/>
    <col min="13483" max="13483" width="13.5703125" bestFit="1" customWidth="1"/>
    <col min="13484" max="13484" width="15" bestFit="1" customWidth="1"/>
    <col min="13485" max="13485" width="15" customWidth="1"/>
    <col min="13486" max="13490" width="18.5703125" customWidth="1"/>
    <col min="13491" max="13492" width="31.42578125" customWidth="1"/>
    <col min="13493" max="13493" width="13.5703125" bestFit="1" customWidth="1"/>
    <col min="13494" max="13494" width="13.5703125" customWidth="1"/>
    <col min="13495" max="13495" width="20.5703125" customWidth="1"/>
    <col min="13496" max="13496" width="16" customWidth="1"/>
    <col min="13497" max="13497" width="12.28515625" bestFit="1" customWidth="1"/>
    <col min="13498" max="13498" width="17.5703125" customWidth="1"/>
    <col min="13499" max="13499" width="16" customWidth="1"/>
    <col min="13500" max="13500" width="21" customWidth="1"/>
    <col min="13501" max="13501" width="17.5703125" customWidth="1"/>
    <col min="13502" max="13502" width="27" customWidth="1"/>
    <col min="13503" max="13505" width="23.28515625" customWidth="1"/>
    <col min="13506" max="13506" width="15.7109375" customWidth="1"/>
    <col min="13507" max="13507" width="16.42578125" customWidth="1"/>
    <col min="13508" max="13510" width="19.28515625" customWidth="1"/>
    <col min="13511" max="13512" width="5.28515625" bestFit="1" customWidth="1"/>
    <col min="13513" max="13513" width="12.7109375" customWidth="1"/>
    <col min="13514" max="13515" width="19.28515625" customWidth="1"/>
    <col min="13516" max="13518" width="13.5703125" customWidth="1"/>
    <col min="13519" max="13519" width="15.5703125" customWidth="1"/>
    <col min="13520" max="13521" width="14.7109375" customWidth="1"/>
    <col min="13522" max="13523" width="14.28515625" customWidth="1"/>
    <col min="13524" max="13524" width="13.5703125" bestFit="1" customWidth="1"/>
    <col min="13525" max="13525" width="19.5703125" customWidth="1"/>
    <col min="13526" max="13526" width="22" customWidth="1"/>
    <col min="13527" max="13527" width="14.5703125" customWidth="1"/>
    <col min="13528" max="13528" width="15" customWidth="1"/>
    <col min="13529" max="13529" width="12.5703125" bestFit="1" customWidth="1"/>
    <col min="13530" max="13530" width="14.42578125" customWidth="1"/>
    <col min="13531" max="13531" width="19.42578125" bestFit="1" customWidth="1"/>
    <col min="13532" max="13532" width="29.5703125" customWidth="1"/>
    <col min="13533" max="13533" width="8.7109375" bestFit="1" customWidth="1"/>
    <col min="13534" max="13535" width="8.7109375" customWidth="1"/>
    <col min="13536" max="13537" width="16" customWidth="1"/>
    <col min="13538" max="13538" width="17.42578125" customWidth="1"/>
    <col min="13539" max="13539" width="14.5703125" customWidth="1"/>
    <col min="13540" max="13542" width="12.5703125" customWidth="1"/>
    <col min="13543" max="13543" width="14.42578125" customWidth="1"/>
    <col min="13544" max="13544" width="12.5703125" customWidth="1"/>
    <col min="13545" max="13547" width="14.5703125" customWidth="1"/>
    <col min="13548" max="13548" width="12.5703125" customWidth="1"/>
    <col min="13549" max="13549" width="11.42578125" customWidth="1"/>
    <col min="13550" max="13558" width="15.28515625" customWidth="1"/>
    <col min="13559" max="13559" width="13" customWidth="1"/>
    <col min="13560" max="13562" width="14.28515625" customWidth="1"/>
    <col min="13563" max="13563" width="13.42578125" customWidth="1"/>
    <col min="13564" max="13566" width="19.28515625" customWidth="1"/>
    <col min="13567" max="13567" width="26.42578125" customWidth="1"/>
    <col min="13568" max="13568" width="8.5703125" customWidth="1"/>
    <col min="13569" max="13570" width="19.42578125" customWidth="1"/>
    <col min="13571" max="13571" width="17.28515625" customWidth="1"/>
    <col min="13572" max="13572" width="16.5703125" customWidth="1"/>
    <col min="13573" max="13573" width="12.42578125" bestFit="1" customWidth="1"/>
    <col min="13574" max="13580" width="12.42578125" customWidth="1"/>
    <col min="13581" max="13581" width="20.42578125" bestFit="1" customWidth="1"/>
    <col min="13582" max="13582" width="21.7109375" customWidth="1"/>
    <col min="13583" max="13583" width="17" bestFit="1" customWidth="1"/>
    <col min="13584" max="13584" width="19.42578125" bestFit="1" customWidth="1"/>
    <col min="13585" max="13585" width="10.7109375" bestFit="1" customWidth="1"/>
    <col min="13586" max="13586" width="17" customWidth="1"/>
    <col min="13587" max="13588" width="12.42578125" customWidth="1"/>
    <col min="13589" max="13590" width="18.28515625" customWidth="1"/>
    <col min="13591" max="13591" width="9.28515625" bestFit="1" customWidth="1"/>
    <col min="13592" max="13592" width="15.42578125" customWidth="1"/>
    <col min="13593" max="13593" width="8.42578125" bestFit="1" customWidth="1"/>
    <col min="13594" max="13594" width="11.5703125" customWidth="1"/>
    <col min="13595" max="13595" width="8.42578125" customWidth="1"/>
    <col min="13596" max="13596" width="10.42578125" customWidth="1"/>
    <col min="13597" max="13597" width="11.28515625" customWidth="1"/>
    <col min="13598" max="13600" width="10.5703125" customWidth="1"/>
    <col min="13601" max="13601" width="11.28515625" customWidth="1"/>
    <col min="13602" max="13604" width="10.5703125" customWidth="1"/>
    <col min="13737" max="13737" width="12.5703125" bestFit="1" customWidth="1"/>
    <col min="13738" max="13738" width="12.5703125" customWidth="1"/>
    <col min="13739" max="13739" width="13.5703125" bestFit="1" customWidth="1"/>
    <col min="13740" max="13740" width="15" bestFit="1" customWidth="1"/>
    <col min="13741" max="13741" width="15" customWidth="1"/>
    <col min="13742" max="13746" width="18.5703125" customWidth="1"/>
    <col min="13747" max="13748" width="31.42578125" customWidth="1"/>
    <col min="13749" max="13749" width="13.5703125" bestFit="1" customWidth="1"/>
    <col min="13750" max="13750" width="13.5703125" customWidth="1"/>
    <col min="13751" max="13751" width="20.5703125" customWidth="1"/>
    <col min="13752" max="13752" width="16" customWidth="1"/>
    <col min="13753" max="13753" width="12.28515625" bestFit="1" customWidth="1"/>
    <col min="13754" max="13754" width="17.5703125" customWidth="1"/>
    <col min="13755" max="13755" width="16" customWidth="1"/>
    <col min="13756" max="13756" width="21" customWidth="1"/>
    <col min="13757" max="13757" width="17.5703125" customWidth="1"/>
    <col min="13758" max="13758" width="27" customWidth="1"/>
    <col min="13759" max="13761" width="23.28515625" customWidth="1"/>
    <col min="13762" max="13762" width="15.7109375" customWidth="1"/>
    <col min="13763" max="13763" width="16.42578125" customWidth="1"/>
    <col min="13764" max="13766" width="19.28515625" customWidth="1"/>
    <col min="13767" max="13768" width="5.28515625" bestFit="1" customWidth="1"/>
    <col min="13769" max="13769" width="12.7109375" customWidth="1"/>
    <col min="13770" max="13771" width="19.28515625" customWidth="1"/>
    <col min="13772" max="13774" width="13.5703125" customWidth="1"/>
    <col min="13775" max="13775" width="15.5703125" customWidth="1"/>
    <col min="13776" max="13777" width="14.7109375" customWidth="1"/>
    <col min="13778" max="13779" width="14.28515625" customWidth="1"/>
    <col min="13780" max="13780" width="13.5703125" bestFit="1" customWidth="1"/>
    <col min="13781" max="13781" width="19.5703125" customWidth="1"/>
    <col min="13782" max="13782" width="22" customWidth="1"/>
    <col min="13783" max="13783" width="14.5703125" customWidth="1"/>
    <col min="13784" max="13784" width="15" customWidth="1"/>
    <col min="13785" max="13785" width="12.5703125" bestFit="1" customWidth="1"/>
    <col min="13786" max="13786" width="14.42578125" customWidth="1"/>
    <col min="13787" max="13787" width="19.42578125" bestFit="1" customWidth="1"/>
    <col min="13788" max="13788" width="29.5703125" customWidth="1"/>
    <col min="13789" max="13789" width="8.7109375" bestFit="1" customWidth="1"/>
    <col min="13790" max="13791" width="8.7109375" customWidth="1"/>
    <col min="13792" max="13793" width="16" customWidth="1"/>
    <col min="13794" max="13794" width="17.42578125" customWidth="1"/>
    <col min="13795" max="13795" width="14.5703125" customWidth="1"/>
    <col min="13796" max="13798" width="12.5703125" customWidth="1"/>
    <col min="13799" max="13799" width="14.42578125" customWidth="1"/>
    <col min="13800" max="13800" width="12.5703125" customWidth="1"/>
    <col min="13801" max="13803" width="14.5703125" customWidth="1"/>
    <col min="13804" max="13804" width="12.5703125" customWidth="1"/>
    <col min="13805" max="13805" width="11.42578125" customWidth="1"/>
    <col min="13806" max="13814" width="15.28515625" customWidth="1"/>
    <col min="13815" max="13815" width="13" customWidth="1"/>
    <col min="13816" max="13818" width="14.28515625" customWidth="1"/>
    <col min="13819" max="13819" width="13.42578125" customWidth="1"/>
    <col min="13820" max="13822" width="19.28515625" customWidth="1"/>
    <col min="13823" max="13823" width="26.42578125" customWidth="1"/>
    <col min="13824" max="13824" width="8.5703125" customWidth="1"/>
    <col min="13825" max="13826" width="19.42578125" customWidth="1"/>
    <col min="13827" max="13827" width="17.28515625" customWidth="1"/>
    <col min="13828" max="13828" width="16.5703125" customWidth="1"/>
    <col min="13829" max="13829" width="12.42578125" bestFit="1" customWidth="1"/>
    <col min="13830" max="13836" width="12.42578125" customWidth="1"/>
    <col min="13837" max="13837" width="20.42578125" bestFit="1" customWidth="1"/>
    <col min="13838" max="13838" width="21.7109375" customWidth="1"/>
    <col min="13839" max="13839" width="17" bestFit="1" customWidth="1"/>
    <col min="13840" max="13840" width="19.42578125" bestFit="1" customWidth="1"/>
    <col min="13841" max="13841" width="10.7109375" bestFit="1" customWidth="1"/>
    <col min="13842" max="13842" width="17" customWidth="1"/>
    <col min="13843" max="13844" width="12.42578125" customWidth="1"/>
    <col min="13845" max="13846" width="18.28515625" customWidth="1"/>
    <col min="13847" max="13847" width="9.28515625" bestFit="1" customWidth="1"/>
    <col min="13848" max="13848" width="15.42578125" customWidth="1"/>
    <col min="13849" max="13849" width="8.42578125" bestFit="1" customWidth="1"/>
    <col min="13850" max="13850" width="11.5703125" customWidth="1"/>
    <col min="13851" max="13851" width="8.42578125" customWidth="1"/>
    <col min="13852" max="13852" width="10.42578125" customWidth="1"/>
    <col min="13853" max="13853" width="11.28515625" customWidth="1"/>
    <col min="13854" max="13856" width="10.5703125" customWidth="1"/>
    <col min="13857" max="13857" width="11.28515625" customWidth="1"/>
    <col min="13858" max="13860" width="10.5703125" customWidth="1"/>
    <col min="13993" max="13993" width="12.5703125" bestFit="1" customWidth="1"/>
    <col min="13994" max="13994" width="12.5703125" customWidth="1"/>
    <col min="13995" max="13995" width="13.5703125" bestFit="1" customWidth="1"/>
    <col min="13996" max="13996" width="15" bestFit="1" customWidth="1"/>
    <col min="13997" max="13997" width="15" customWidth="1"/>
    <col min="13998" max="14002" width="18.5703125" customWidth="1"/>
    <col min="14003" max="14004" width="31.42578125" customWidth="1"/>
    <col min="14005" max="14005" width="13.5703125" bestFit="1" customWidth="1"/>
    <col min="14006" max="14006" width="13.5703125" customWidth="1"/>
    <col min="14007" max="14007" width="20.5703125" customWidth="1"/>
    <col min="14008" max="14008" width="16" customWidth="1"/>
    <col min="14009" max="14009" width="12.28515625" bestFit="1" customWidth="1"/>
    <col min="14010" max="14010" width="17.5703125" customWidth="1"/>
    <col min="14011" max="14011" width="16" customWidth="1"/>
    <col min="14012" max="14012" width="21" customWidth="1"/>
    <col min="14013" max="14013" width="17.5703125" customWidth="1"/>
    <col min="14014" max="14014" width="27" customWidth="1"/>
    <col min="14015" max="14017" width="23.28515625" customWidth="1"/>
    <col min="14018" max="14018" width="15.7109375" customWidth="1"/>
    <col min="14019" max="14019" width="16.42578125" customWidth="1"/>
    <col min="14020" max="14022" width="19.28515625" customWidth="1"/>
    <col min="14023" max="14024" width="5.28515625" bestFit="1" customWidth="1"/>
    <col min="14025" max="14025" width="12.7109375" customWidth="1"/>
    <col min="14026" max="14027" width="19.28515625" customWidth="1"/>
    <col min="14028" max="14030" width="13.5703125" customWidth="1"/>
    <col min="14031" max="14031" width="15.5703125" customWidth="1"/>
    <col min="14032" max="14033" width="14.7109375" customWidth="1"/>
    <col min="14034" max="14035" width="14.28515625" customWidth="1"/>
    <col min="14036" max="14036" width="13.5703125" bestFit="1" customWidth="1"/>
    <col min="14037" max="14037" width="19.5703125" customWidth="1"/>
    <col min="14038" max="14038" width="22" customWidth="1"/>
    <col min="14039" max="14039" width="14.5703125" customWidth="1"/>
    <col min="14040" max="14040" width="15" customWidth="1"/>
    <col min="14041" max="14041" width="12.5703125" bestFit="1" customWidth="1"/>
    <col min="14042" max="14042" width="14.42578125" customWidth="1"/>
    <col min="14043" max="14043" width="19.42578125" bestFit="1" customWidth="1"/>
    <col min="14044" max="14044" width="29.5703125" customWidth="1"/>
    <col min="14045" max="14045" width="8.7109375" bestFit="1" customWidth="1"/>
    <col min="14046" max="14047" width="8.7109375" customWidth="1"/>
    <col min="14048" max="14049" width="16" customWidth="1"/>
    <col min="14050" max="14050" width="17.42578125" customWidth="1"/>
    <col min="14051" max="14051" width="14.5703125" customWidth="1"/>
    <col min="14052" max="14054" width="12.5703125" customWidth="1"/>
    <col min="14055" max="14055" width="14.42578125" customWidth="1"/>
    <col min="14056" max="14056" width="12.5703125" customWidth="1"/>
    <col min="14057" max="14059" width="14.5703125" customWidth="1"/>
    <col min="14060" max="14060" width="12.5703125" customWidth="1"/>
    <col min="14061" max="14061" width="11.42578125" customWidth="1"/>
    <col min="14062" max="14070" width="15.28515625" customWidth="1"/>
    <col min="14071" max="14071" width="13" customWidth="1"/>
    <col min="14072" max="14074" width="14.28515625" customWidth="1"/>
    <col min="14075" max="14075" width="13.42578125" customWidth="1"/>
    <col min="14076" max="14078" width="19.28515625" customWidth="1"/>
    <col min="14079" max="14079" width="26.42578125" customWidth="1"/>
    <col min="14080" max="14080" width="8.5703125" customWidth="1"/>
    <col min="14081" max="14082" width="19.42578125" customWidth="1"/>
    <col min="14083" max="14083" width="17.28515625" customWidth="1"/>
    <col min="14084" max="14084" width="16.5703125" customWidth="1"/>
    <col min="14085" max="14085" width="12.42578125" bestFit="1" customWidth="1"/>
    <col min="14086" max="14092" width="12.42578125" customWidth="1"/>
    <col min="14093" max="14093" width="20.42578125" bestFit="1" customWidth="1"/>
    <col min="14094" max="14094" width="21.7109375" customWidth="1"/>
    <col min="14095" max="14095" width="17" bestFit="1" customWidth="1"/>
    <col min="14096" max="14096" width="19.42578125" bestFit="1" customWidth="1"/>
    <col min="14097" max="14097" width="10.7109375" bestFit="1" customWidth="1"/>
    <col min="14098" max="14098" width="17" customWidth="1"/>
    <col min="14099" max="14100" width="12.42578125" customWidth="1"/>
    <col min="14101" max="14102" width="18.28515625" customWidth="1"/>
    <col min="14103" max="14103" width="9.28515625" bestFit="1" customWidth="1"/>
    <col min="14104" max="14104" width="15.42578125" customWidth="1"/>
    <col min="14105" max="14105" width="8.42578125" bestFit="1" customWidth="1"/>
    <col min="14106" max="14106" width="11.5703125" customWidth="1"/>
    <col min="14107" max="14107" width="8.42578125" customWidth="1"/>
    <col min="14108" max="14108" width="10.42578125" customWidth="1"/>
    <col min="14109" max="14109" width="11.28515625" customWidth="1"/>
    <col min="14110" max="14112" width="10.5703125" customWidth="1"/>
    <col min="14113" max="14113" width="11.28515625" customWidth="1"/>
    <col min="14114" max="14116" width="10.5703125" customWidth="1"/>
    <col min="14249" max="14249" width="12.5703125" bestFit="1" customWidth="1"/>
    <col min="14250" max="14250" width="12.5703125" customWidth="1"/>
    <col min="14251" max="14251" width="13.5703125" bestFit="1" customWidth="1"/>
    <col min="14252" max="14252" width="15" bestFit="1" customWidth="1"/>
    <col min="14253" max="14253" width="15" customWidth="1"/>
    <col min="14254" max="14258" width="18.5703125" customWidth="1"/>
    <col min="14259" max="14260" width="31.42578125" customWidth="1"/>
    <col min="14261" max="14261" width="13.5703125" bestFit="1" customWidth="1"/>
    <col min="14262" max="14262" width="13.5703125" customWidth="1"/>
    <col min="14263" max="14263" width="20.5703125" customWidth="1"/>
    <col min="14264" max="14264" width="16" customWidth="1"/>
    <col min="14265" max="14265" width="12.28515625" bestFit="1" customWidth="1"/>
    <col min="14266" max="14266" width="17.5703125" customWidth="1"/>
    <col min="14267" max="14267" width="16" customWidth="1"/>
    <col min="14268" max="14268" width="21" customWidth="1"/>
    <col min="14269" max="14269" width="17.5703125" customWidth="1"/>
    <col min="14270" max="14270" width="27" customWidth="1"/>
    <col min="14271" max="14273" width="23.28515625" customWidth="1"/>
    <col min="14274" max="14274" width="15.7109375" customWidth="1"/>
    <col min="14275" max="14275" width="16.42578125" customWidth="1"/>
    <col min="14276" max="14278" width="19.28515625" customWidth="1"/>
    <col min="14279" max="14280" width="5.28515625" bestFit="1" customWidth="1"/>
    <col min="14281" max="14281" width="12.7109375" customWidth="1"/>
    <col min="14282" max="14283" width="19.28515625" customWidth="1"/>
    <col min="14284" max="14286" width="13.5703125" customWidth="1"/>
    <col min="14287" max="14287" width="15.5703125" customWidth="1"/>
    <col min="14288" max="14289" width="14.7109375" customWidth="1"/>
    <col min="14290" max="14291" width="14.28515625" customWidth="1"/>
    <col min="14292" max="14292" width="13.5703125" bestFit="1" customWidth="1"/>
    <col min="14293" max="14293" width="19.5703125" customWidth="1"/>
    <col min="14294" max="14294" width="22" customWidth="1"/>
    <col min="14295" max="14295" width="14.5703125" customWidth="1"/>
    <col min="14296" max="14296" width="15" customWidth="1"/>
    <col min="14297" max="14297" width="12.5703125" bestFit="1" customWidth="1"/>
    <col min="14298" max="14298" width="14.42578125" customWidth="1"/>
    <col min="14299" max="14299" width="19.42578125" bestFit="1" customWidth="1"/>
    <col min="14300" max="14300" width="29.5703125" customWidth="1"/>
    <col min="14301" max="14301" width="8.7109375" bestFit="1" customWidth="1"/>
    <col min="14302" max="14303" width="8.7109375" customWidth="1"/>
    <col min="14304" max="14305" width="16" customWidth="1"/>
    <col min="14306" max="14306" width="17.42578125" customWidth="1"/>
    <col min="14307" max="14307" width="14.5703125" customWidth="1"/>
    <col min="14308" max="14310" width="12.5703125" customWidth="1"/>
    <col min="14311" max="14311" width="14.42578125" customWidth="1"/>
    <col min="14312" max="14312" width="12.5703125" customWidth="1"/>
    <col min="14313" max="14315" width="14.5703125" customWidth="1"/>
    <col min="14316" max="14316" width="12.5703125" customWidth="1"/>
    <col min="14317" max="14317" width="11.42578125" customWidth="1"/>
    <col min="14318" max="14326" width="15.28515625" customWidth="1"/>
    <col min="14327" max="14327" width="13" customWidth="1"/>
    <col min="14328" max="14330" width="14.28515625" customWidth="1"/>
    <col min="14331" max="14331" width="13.42578125" customWidth="1"/>
    <col min="14332" max="14334" width="19.28515625" customWidth="1"/>
    <col min="14335" max="14335" width="26.42578125" customWidth="1"/>
    <col min="14336" max="14336" width="8.5703125" customWidth="1"/>
    <col min="14337" max="14338" width="19.42578125" customWidth="1"/>
    <col min="14339" max="14339" width="17.28515625" customWidth="1"/>
    <col min="14340" max="14340" width="16.5703125" customWidth="1"/>
    <col min="14341" max="14341" width="12.42578125" bestFit="1" customWidth="1"/>
    <col min="14342" max="14348" width="12.42578125" customWidth="1"/>
    <col min="14349" max="14349" width="20.42578125" bestFit="1" customWidth="1"/>
    <col min="14350" max="14350" width="21.7109375" customWidth="1"/>
    <col min="14351" max="14351" width="17" bestFit="1" customWidth="1"/>
    <col min="14352" max="14352" width="19.42578125" bestFit="1" customWidth="1"/>
    <col min="14353" max="14353" width="10.7109375" bestFit="1" customWidth="1"/>
    <col min="14354" max="14354" width="17" customWidth="1"/>
    <col min="14355" max="14356" width="12.42578125" customWidth="1"/>
    <col min="14357" max="14358" width="18.28515625" customWidth="1"/>
    <col min="14359" max="14359" width="9.28515625" bestFit="1" customWidth="1"/>
    <col min="14360" max="14360" width="15.42578125" customWidth="1"/>
    <col min="14361" max="14361" width="8.42578125" bestFit="1" customWidth="1"/>
    <col min="14362" max="14362" width="11.5703125" customWidth="1"/>
    <col min="14363" max="14363" width="8.42578125" customWidth="1"/>
    <col min="14364" max="14364" width="10.42578125" customWidth="1"/>
    <col min="14365" max="14365" width="11.28515625" customWidth="1"/>
    <col min="14366" max="14368" width="10.5703125" customWidth="1"/>
    <col min="14369" max="14369" width="11.28515625" customWidth="1"/>
    <col min="14370" max="14372" width="10.5703125" customWidth="1"/>
    <col min="14505" max="14505" width="12.5703125" bestFit="1" customWidth="1"/>
    <col min="14506" max="14506" width="12.5703125" customWidth="1"/>
    <col min="14507" max="14507" width="13.5703125" bestFit="1" customWidth="1"/>
    <col min="14508" max="14508" width="15" bestFit="1" customWidth="1"/>
    <col min="14509" max="14509" width="15" customWidth="1"/>
    <col min="14510" max="14514" width="18.5703125" customWidth="1"/>
    <col min="14515" max="14516" width="31.42578125" customWidth="1"/>
    <col min="14517" max="14517" width="13.5703125" bestFit="1" customWidth="1"/>
    <col min="14518" max="14518" width="13.5703125" customWidth="1"/>
    <col min="14519" max="14519" width="20.5703125" customWidth="1"/>
    <col min="14520" max="14520" width="16" customWidth="1"/>
    <col min="14521" max="14521" width="12.28515625" bestFit="1" customWidth="1"/>
    <col min="14522" max="14522" width="17.5703125" customWidth="1"/>
    <col min="14523" max="14523" width="16" customWidth="1"/>
    <col min="14524" max="14524" width="21" customWidth="1"/>
    <col min="14525" max="14525" width="17.5703125" customWidth="1"/>
    <col min="14526" max="14526" width="27" customWidth="1"/>
    <col min="14527" max="14529" width="23.28515625" customWidth="1"/>
    <col min="14530" max="14530" width="15.7109375" customWidth="1"/>
    <col min="14531" max="14531" width="16.42578125" customWidth="1"/>
    <col min="14532" max="14534" width="19.28515625" customWidth="1"/>
    <col min="14535" max="14536" width="5.28515625" bestFit="1" customWidth="1"/>
    <col min="14537" max="14537" width="12.7109375" customWidth="1"/>
    <col min="14538" max="14539" width="19.28515625" customWidth="1"/>
    <col min="14540" max="14542" width="13.5703125" customWidth="1"/>
    <col min="14543" max="14543" width="15.5703125" customWidth="1"/>
    <col min="14544" max="14545" width="14.7109375" customWidth="1"/>
    <col min="14546" max="14547" width="14.28515625" customWidth="1"/>
    <col min="14548" max="14548" width="13.5703125" bestFit="1" customWidth="1"/>
    <col min="14549" max="14549" width="19.5703125" customWidth="1"/>
    <col min="14550" max="14550" width="22" customWidth="1"/>
    <col min="14551" max="14551" width="14.5703125" customWidth="1"/>
    <col min="14552" max="14552" width="15" customWidth="1"/>
    <col min="14553" max="14553" width="12.5703125" bestFit="1" customWidth="1"/>
    <col min="14554" max="14554" width="14.42578125" customWidth="1"/>
    <col min="14555" max="14555" width="19.42578125" bestFit="1" customWidth="1"/>
    <col min="14556" max="14556" width="29.5703125" customWidth="1"/>
    <col min="14557" max="14557" width="8.7109375" bestFit="1" customWidth="1"/>
    <col min="14558" max="14559" width="8.7109375" customWidth="1"/>
    <col min="14560" max="14561" width="16" customWidth="1"/>
    <col min="14562" max="14562" width="17.42578125" customWidth="1"/>
    <col min="14563" max="14563" width="14.5703125" customWidth="1"/>
    <col min="14564" max="14566" width="12.5703125" customWidth="1"/>
    <col min="14567" max="14567" width="14.42578125" customWidth="1"/>
    <col min="14568" max="14568" width="12.5703125" customWidth="1"/>
    <col min="14569" max="14571" width="14.5703125" customWidth="1"/>
    <col min="14572" max="14572" width="12.5703125" customWidth="1"/>
    <col min="14573" max="14573" width="11.42578125" customWidth="1"/>
    <col min="14574" max="14582" width="15.28515625" customWidth="1"/>
    <col min="14583" max="14583" width="13" customWidth="1"/>
    <col min="14584" max="14586" width="14.28515625" customWidth="1"/>
    <col min="14587" max="14587" width="13.42578125" customWidth="1"/>
    <col min="14588" max="14590" width="19.28515625" customWidth="1"/>
    <col min="14591" max="14591" width="26.42578125" customWidth="1"/>
    <col min="14592" max="14592" width="8.5703125" customWidth="1"/>
    <col min="14593" max="14594" width="19.42578125" customWidth="1"/>
    <col min="14595" max="14595" width="17.28515625" customWidth="1"/>
    <col min="14596" max="14596" width="16.5703125" customWidth="1"/>
    <col min="14597" max="14597" width="12.42578125" bestFit="1" customWidth="1"/>
    <col min="14598" max="14604" width="12.42578125" customWidth="1"/>
    <col min="14605" max="14605" width="20.42578125" bestFit="1" customWidth="1"/>
    <col min="14606" max="14606" width="21.7109375" customWidth="1"/>
    <col min="14607" max="14607" width="17" bestFit="1" customWidth="1"/>
    <col min="14608" max="14608" width="19.42578125" bestFit="1" customWidth="1"/>
    <col min="14609" max="14609" width="10.7109375" bestFit="1" customWidth="1"/>
    <col min="14610" max="14610" width="17" customWidth="1"/>
    <col min="14611" max="14612" width="12.42578125" customWidth="1"/>
    <col min="14613" max="14614" width="18.28515625" customWidth="1"/>
    <col min="14615" max="14615" width="9.28515625" bestFit="1" customWidth="1"/>
    <col min="14616" max="14616" width="15.42578125" customWidth="1"/>
    <col min="14617" max="14617" width="8.42578125" bestFit="1" customWidth="1"/>
    <col min="14618" max="14618" width="11.5703125" customWidth="1"/>
    <col min="14619" max="14619" width="8.42578125" customWidth="1"/>
    <col min="14620" max="14620" width="10.42578125" customWidth="1"/>
    <col min="14621" max="14621" width="11.28515625" customWidth="1"/>
    <col min="14622" max="14624" width="10.5703125" customWidth="1"/>
    <col min="14625" max="14625" width="11.28515625" customWidth="1"/>
    <col min="14626" max="14628" width="10.5703125" customWidth="1"/>
    <col min="14761" max="14761" width="12.5703125" bestFit="1" customWidth="1"/>
    <col min="14762" max="14762" width="12.5703125" customWidth="1"/>
    <col min="14763" max="14763" width="13.5703125" bestFit="1" customWidth="1"/>
    <col min="14764" max="14764" width="15" bestFit="1" customWidth="1"/>
    <col min="14765" max="14765" width="15" customWidth="1"/>
    <col min="14766" max="14770" width="18.5703125" customWidth="1"/>
    <col min="14771" max="14772" width="31.42578125" customWidth="1"/>
    <col min="14773" max="14773" width="13.5703125" bestFit="1" customWidth="1"/>
    <col min="14774" max="14774" width="13.5703125" customWidth="1"/>
    <col min="14775" max="14775" width="20.5703125" customWidth="1"/>
    <col min="14776" max="14776" width="16" customWidth="1"/>
    <col min="14777" max="14777" width="12.28515625" bestFit="1" customWidth="1"/>
    <col min="14778" max="14778" width="17.5703125" customWidth="1"/>
    <col min="14779" max="14779" width="16" customWidth="1"/>
    <col min="14780" max="14780" width="21" customWidth="1"/>
    <col min="14781" max="14781" width="17.5703125" customWidth="1"/>
    <col min="14782" max="14782" width="27" customWidth="1"/>
    <col min="14783" max="14785" width="23.28515625" customWidth="1"/>
    <col min="14786" max="14786" width="15.7109375" customWidth="1"/>
    <col min="14787" max="14787" width="16.42578125" customWidth="1"/>
    <col min="14788" max="14790" width="19.28515625" customWidth="1"/>
    <col min="14791" max="14792" width="5.28515625" bestFit="1" customWidth="1"/>
    <col min="14793" max="14793" width="12.7109375" customWidth="1"/>
    <col min="14794" max="14795" width="19.28515625" customWidth="1"/>
    <col min="14796" max="14798" width="13.5703125" customWidth="1"/>
    <col min="14799" max="14799" width="15.5703125" customWidth="1"/>
    <col min="14800" max="14801" width="14.7109375" customWidth="1"/>
    <col min="14802" max="14803" width="14.28515625" customWidth="1"/>
    <col min="14804" max="14804" width="13.5703125" bestFit="1" customWidth="1"/>
    <col min="14805" max="14805" width="19.5703125" customWidth="1"/>
    <col min="14806" max="14806" width="22" customWidth="1"/>
    <col min="14807" max="14807" width="14.5703125" customWidth="1"/>
    <col min="14808" max="14808" width="15" customWidth="1"/>
    <col min="14809" max="14809" width="12.5703125" bestFit="1" customWidth="1"/>
    <col min="14810" max="14810" width="14.42578125" customWidth="1"/>
    <col min="14811" max="14811" width="19.42578125" bestFit="1" customWidth="1"/>
    <col min="14812" max="14812" width="29.5703125" customWidth="1"/>
    <col min="14813" max="14813" width="8.7109375" bestFit="1" customWidth="1"/>
    <col min="14814" max="14815" width="8.7109375" customWidth="1"/>
    <col min="14816" max="14817" width="16" customWidth="1"/>
    <col min="14818" max="14818" width="17.42578125" customWidth="1"/>
    <col min="14819" max="14819" width="14.5703125" customWidth="1"/>
    <col min="14820" max="14822" width="12.5703125" customWidth="1"/>
    <col min="14823" max="14823" width="14.42578125" customWidth="1"/>
    <col min="14824" max="14824" width="12.5703125" customWidth="1"/>
    <col min="14825" max="14827" width="14.5703125" customWidth="1"/>
    <col min="14828" max="14828" width="12.5703125" customWidth="1"/>
    <col min="14829" max="14829" width="11.42578125" customWidth="1"/>
    <col min="14830" max="14838" width="15.28515625" customWidth="1"/>
    <col min="14839" max="14839" width="13" customWidth="1"/>
    <col min="14840" max="14842" width="14.28515625" customWidth="1"/>
    <col min="14843" max="14843" width="13.42578125" customWidth="1"/>
    <col min="14844" max="14846" width="19.28515625" customWidth="1"/>
    <col min="14847" max="14847" width="26.42578125" customWidth="1"/>
    <col min="14848" max="14848" width="8.5703125" customWidth="1"/>
    <col min="14849" max="14850" width="19.42578125" customWidth="1"/>
    <col min="14851" max="14851" width="17.28515625" customWidth="1"/>
    <col min="14852" max="14852" width="16.5703125" customWidth="1"/>
    <col min="14853" max="14853" width="12.42578125" bestFit="1" customWidth="1"/>
    <col min="14854" max="14860" width="12.42578125" customWidth="1"/>
    <col min="14861" max="14861" width="20.42578125" bestFit="1" customWidth="1"/>
    <col min="14862" max="14862" width="21.7109375" customWidth="1"/>
    <col min="14863" max="14863" width="17" bestFit="1" customWidth="1"/>
    <col min="14864" max="14864" width="19.42578125" bestFit="1" customWidth="1"/>
    <col min="14865" max="14865" width="10.7109375" bestFit="1" customWidth="1"/>
    <col min="14866" max="14866" width="17" customWidth="1"/>
    <col min="14867" max="14868" width="12.42578125" customWidth="1"/>
    <col min="14869" max="14870" width="18.28515625" customWidth="1"/>
    <col min="14871" max="14871" width="9.28515625" bestFit="1" customWidth="1"/>
    <col min="14872" max="14872" width="15.42578125" customWidth="1"/>
    <col min="14873" max="14873" width="8.42578125" bestFit="1" customWidth="1"/>
    <col min="14874" max="14874" width="11.5703125" customWidth="1"/>
    <col min="14875" max="14875" width="8.42578125" customWidth="1"/>
    <col min="14876" max="14876" width="10.42578125" customWidth="1"/>
    <col min="14877" max="14877" width="11.28515625" customWidth="1"/>
    <col min="14878" max="14880" width="10.5703125" customWidth="1"/>
    <col min="14881" max="14881" width="11.28515625" customWidth="1"/>
    <col min="14882" max="14884" width="10.5703125" customWidth="1"/>
    <col min="15017" max="15017" width="12.5703125" bestFit="1" customWidth="1"/>
    <col min="15018" max="15018" width="12.5703125" customWidth="1"/>
    <col min="15019" max="15019" width="13.5703125" bestFit="1" customWidth="1"/>
    <col min="15020" max="15020" width="15" bestFit="1" customWidth="1"/>
    <col min="15021" max="15021" width="15" customWidth="1"/>
    <col min="15022" max="15026" width="18.5703125" customWidth="1"/>
    <col min="15027" max="15028" width="31.42578125" customWidth="1"/>
    <col min="15029" max="15029" width="13.5703125" bestFit="1" customWidth="1"/>
    <col min="15030" max="15030" width="13.5703125" customWidth="1"/>
    <col min="15031" max="15031" width="20.5703125" customWidth="1"/>
    <col min="15032" max="15032" width="16" customWidth="1"/>
    <col min="15033" max="15033" width="12.28515625" bestFit="1" customWidth="1"/>
    <col min="15034" max="15034" width="17.5703125" customWidth="1"/>
    <col min="15035" max="15035" width="16" customWidth="1"/>
    <col min="15036" max="15036" width="21" customWidth="1"/>
    <col min="15037" max="15037" width="17.5703125" customWidth="1"/>
    <col min="15038" max="15038" width="27" customWidth="1"/>
    <col min="15039" max="15041" width="23.28515625" customWidth="1"/>
    <col min="15042" max="15042" width="15.7109375" customWidth="1"/>
    <col min="15043" max="15043" width="16.42578125" customWidth="1"/>
    <col min="15044" max="15046" width="19.28515625" customWidth="1"/>
    <col min="15047" max="15048" width="5.28515625" bestFit="1" customWidth="1"/>
    <col min="15049" max="15049" width="12.7109375" customWidth="1"/>
    <col min="15050" max="15051" width="19.28515625" customWidth="1"/>
    <col min="15052" max="15054" width="13.5703125" customWidth="1"/>
    <col min="15055" max="15055" width="15.5703125" customWidth="1"/>
    <col min="15056" max="15057" width="14.7109375" customWidth="1"/>
    <col min="15058" max="15059" width="14.28515625" customWidth="1"/>
    <col min="15060" max="15060" width="13.5703125" bestFit="1" customWidth="1"/>
    <col min="15061" max="15061" width="19.5703125" customWidth="1"/>
    <col min="15062" max="15062" width="22" customWidth="1"/>
    <col min="15063" max="15063" width="14.5703125" customWidth="1"/>
    <col min="15064" max="15064" width="15" customWidth="1"/>
    <col min="15065" max="15065" width="12.5703125" bestFit="1" customWidth="1"/>
    <col min="15066" max="15066" width="14.42578125" customWidth="1"/>
    <col min="15067" max="15067" width="19.42578125" bestFit="1" customWidth="1"/>
    <col min="15068" max="15068" width="29.5703125" customWidth="1"/>
    <col min="15069" max="15069" width="8.7109375" bestFit="1" customWidth="1"/>
    <col min="15070" max="15071" width="8.7109375" customWidth="1"/>
    <col min="15072" max="15073" width="16" customWidth="1"/>
    <col min="15074" max="15074" width="17.42578125" customWidth="1"/>
    <col min="15075" max="15075" width="14.5703125" customWidth="1"/>
    <col min="15076" max="15078" width="12.5703125" customWidth="1"/>
    <col min="15079" max="15079" width="14.42578125" customWidth="1"/>
    <col min="15080" max="15080" width="12.5703125" customWidth="1"/>
    <col min="15081" max="15083" width="14.5703125" customWidth="1"/>
    <col min="15084" max="15084" width="12.5703125" customWidth="1"/>
    <col min="15085" max="15085" width="11.42578125" customWidth="1"/>
    <col min="15086" max="15094" width="15.28515625" customWidth="1"/>
    <col min="15095" max="15095" width="13" customWidth="1"/>
    <col min="15096" max="15098" width="14.28515625" customWidth="1"/>
    <col min="15099" max="15099" width="13.42578125" customWidth="1"/>
    <col min="15100" max="15102" width="19.28515625" customWidth="1"/>
    <col min="15103" max="15103" width="26.42578125" customWidth="1"/>
    <col min="15104" max="15104" width="8.5703125" customWidth="1"/>
    <col min="15105" max="15106" width="19.42578125" customWidth="1"/>
    <col min="15107" max="15107" width="17.28515625" customWidth="1"/>
    <col min="15108" max="15108" width="16.5703125" customWidth="1"/>
    <col min="15109" max="15109" width="12.42578125" bestFit="1" customWidth="1"/>
    <col min="15110" max="15116" width="12.42578125" customWidth="1"/>
    <col min="15117" max="15117" width="20.42578125" bestFit="1" customWidth="1"/>
    <col min="15118" max="15118" width="21.7109375" customWidth="1"/>
    <col min="15119" max="15119" width="17" bestFit="1" customWidth="1"/>
    <col min="15120" max="15120" width="19.42578125" bestFit="1" customWidth="1"/>
    <col min="15121" max="15121" width="10.7109375" bestFit="1" customWidth="1"/>
    <col min="15122" max="15122" width="17" customWidth="1"/>
    <col min="15123" max="15124" width="12.42578125" customWidth="1"/>
    <col min="15125" max="15126" width="18.28515625" customWidth="1"/>
    <col min="15127" max="15127" width="9.28515625" bestFit="1" customWidth="1"/>
    <col min="15128" max="15128" width="15.42578125" customWidth="1"/>
    <col min="15129" max="15129" width="8.42578125" bestFit="1" customWidth="1"/>
    <col min="15130" max="15130" width="11.5703125" customWidth="1"/>
    <col min="15131" max="15131" width="8.42578125" customWidth="1"/>
    <col min="15132" max="15132" width="10.42578125" customWidth="1"/>
    <col min="15133" max="15133" width="11.28515625" customWidth="1"/>
    <col min="15134" max="15136" width="10.5703125" customWidth="1"/>
    <col min="15137" max="15137" width="11.28515625" customWidth="1"/>
    <col min="15138" max="15140" width="10.5703125" customWidth="1"/>
    <col min="15273" max="15273" width="12.5703125" bestFit="1" customWidth="1"/>
    <col min="15274" max="15274" width="12.5703125" customWidth="1"/>
    <col min="15275" max="15275" width="13.5703125" bestFit="1" customWidth="1"/>
    <col min="15276" max="15276" width="15" bestFit="1" customWidth="1"/>
    <col min="15277" max="15277" width="15" customWidth="1"/>
    <col min="15278" max="15282" width="18.5703125" customWidth="1"/>
    <col min="15283" max="15284" width="31.42578125" customWidth="1"/>
    <col min="15285" max="15285" width="13.5703125" bestFit="1" customWidth="1"/>
    <col min="15286" max="15286" width="13.5703125" customWidth="1"/>
    <col min="15287" max="15287" width="20.5703125" customWidth="1"/>
    <col min="15288" max="15288" width="16" customWidth="1"/>
    <col min="15289" max="15289" width="12.28515625" bestFit="1" customWidth="1"/>
    <col min="15290" max="15290" width="17.5703125" customWidth="1"/>
    <col min="15291" max="15291" width="16" customWidth="1"/>
    <col min="15292" max="15292" width="21" customWidth="1"/>
    <col min="15293" max="15293" width="17.5703125" customWidth="1"/>
    <col min="15294" max="15294" width="27" customWidth="1"/>
    <col min="15295" max="15297" width="23.28515625" customWidth="1"/>
    <col min="15298" max="15298" width="15.7109375" customWidth="1"/>
    <col min="15299" max="15299" width="16.42578125" customWidth="1"/>
    <col min="15300" max="15302" width="19.28515625" customWidth="1"/>
    <col min="15303" max="15304" width="5.28515625" bestFit="1" customWidth="1"/>
    <col min="15305" max="15305" width="12.7109375" customWidth="1"/>
    <col min="15306" max="15307" width="19.28515625" customWidth="1"/>
    <col min="15308" max="15310" width="13.5703125" customWidth="1"/>
    <col min="15311" max="15311" width="15.5703125" customWidth="1"/>
    <col min="15312" max="15313" width="14.7109375" customWidth="1"/>
    <col min="15314" max="15315" width="14.28515625" customWidth="1"/>
    <col min="15316" max="15316" width="13.5703125" bestFit="1" customWidth="1"/>
    <col min="15317" max="15317" width="19.5703125" customWidth="1"/>
    <col min="15318" max="15318" width="22" customWidth="1"/>
    <col min="15319" max="15319" width="14.5703125" customWidth="1"/>
    <col min="15320" max="15320" width="15" customWidth="1"/>
    <col min="15321" max="15321" width="12.5703125" bestFit="1" customWidth="1"/>
    <col min="15322" max="15322" width="14.42578125" customWidth="1"/>
    <col min="15323" max="15323" width="19.42578125" bestFit="1" customWidth="1"/>
    <col min="15324" max="15324" width="29.5703125" customWidth="1"/>
    <col min="15325" max="15325" width="8.7109375" bestFit="1" customWidth="1"/>
    <col min="15326" max="15327" width="8.7109375" customWidth="1"/>
    <col min="15328" max="15329" width="16" customWidth="1"/>
    <col min="15330" max="15330" width="17.42578125" customWidth="1"/>
    <col min="15331" max="15331" width="14.5703125" customWidth="1"/>
    <col min="15332" max="15334" width="12.5703125" customWidth="1"/>
    <col min="15335" max="15335" width="14.42578125" customWidth="1"/>
    <col min="15336" max="15336" width="12.5703125" customWidth="1"/>
    <col min="15337" max="15339" width="14.5703125" customWidth="1"/>
    <col min="15340" max="15340" width="12.5703125" customWidth="1"/>
    <col min="15341" max="15341" width="11.42578125" customWidth="1"/>
    <col min="15342" max="15350" width="15.28515625" customWidth="1"/>
    <col min="15351" max="15351" width="13" customWidth="1"/>
    <col min="15352" max="15354" width="14.28515625" customWidth="1"/>
    <col min="15355" max="15355" width="13.42578125" customWidth="1"/>
    <col min="15356" max="15358" width="19.28515625" customWidth="1"/>
    <col min="15359" max="15359" width="26.42578125" customWidth="1"/>
    <col min="15360" max="15360" width="8.5703125" customWidth="1"/>
    <col min="15361" max="15362" width="19.42578125" customWidth="1"/>
    <col min="15363" max="15363" width="17.28515625" customWidth="1"/>
    <col min="15364" max="15364" width="16.5703125" customWidth="1"/>
    <col min="15365" max="15365" width="12.42578125" bestFit="1" customWidth="1"/>
    <col min="15366" max="15372" width="12.42578125" customWidth="1"/>
    <col min="15373" max="15373" width="20.42578125" bestFit="1" customWidth="1"/>
    <col min="15374" max="15374" width="21.7109375" customWidth="1"/>
    <col min="15375" max="15375" width="17" bestFit="1" customWidth="1"/>
    <col min="15376" max="15376" width="19.42578125" bestFit="1" customWidth="1"/>
    <col min="15377" max="15377" width="10.7109375" bestFit="1" customWidth="1"/>
    <col min="15378" max="15378" width="17" customWidth="1"/>
    <col min="15379" max="15380" width="12.42578125" customWidth="1"/>
    <col min="15381" max="15382" width="18.28515625" customWidth="1"/>
    <col min="15383" max="15383" width="9.28515625" bestFit="1" customWidth="1"/>
    <col min="15384" max="15384" width="15.42578125" customWidth="1"/>
    <col min="15385" max="15385" width="8.42578125" bestFit="1" customWidth="1"/>
    <col min="15386" max="15386" width="11.5703125" customWidth="1"/>
    <col min="15387" max="15387" width="8.42578125" customWidth="1"/>
    <col min="15388" max="15388" width="10.42578125" customWidth="1"/>
    <col min="15389" max="15389" width="11.28515625" customWidth="1"/>
    <col min="15390" max="15392" width="10.5703125" customWidth="1"/>
    <col min="15393" max="15393" width="11.28515625" customWidth="1"/>
    <col min="15394" max="15396" width="10.5703125" customWidth="1"/>
    <col min="15529" max="15529" width="12.5703125" bestFit="1" customWidth="1"/>
    <col min="15530" max="15530" width="12.5703125" customWidth="1"/>
    <col min="15531" max="15531" width="13.5703125" bestFit="1" customWidth="1"/>
    <col min="15532" max="15532" width="15" bestFit="1" customWidth="1"/>
    <col min="15533" max="15533" width="15" customWidth="1"/>
    <col min="15534" max="15538" width="18.5703125" customWidth="1"/>
    <col min="15539" max="15540" width="31.42578125" customWidth="1"/>
    <col min="15541" max="15541" width="13.5703125" bestFit="1" customWidth="1"/>
    <col min="15542" max="15542" width="13.5703125" customWidth="1"/>
    <col min="15543" max="15543" width="20.5703125" customWidth="1"/>
    <col min="15544" max="15544" width="16" customWidth="1"/>
    <col min="15545" max="15545" width="12.28515625" bestFit="1" customWidth="1"/>
    <col min="15546" max="15546" width="17.5703125" customWidth="1"/>
    <col min="15547" max="15547" width="16" customWidth="1"/>
    <col min="15548" max="15548" width="21" customWidth="1"/>
    <col min="15549" max="15549" width="17.5703125" customWidth="1"/>
    <col min="15550" max="15550" width="27" customWidth="1"/>
    <col min="15551" max="15553" width="23.28515625" customWidth="1"/>
    <col min="15554" max="15554" width="15.7109375" customWidth="1"/>
    <col min="15555" max="15555" width="16.42578125" customWidth="1"/>
    <col min="15556" max="15558" width="19.28515625" customWidth="1"/>
    <col min="15559" max="15560" width="5.28515625" bestFit="1" customWidth="1"/>
    <col min="15561" max="15561" width="12.7109375" customWidth="1"/>
    <col min="15562" max="15563" width="19.28515625" customWidth="1"/>
    <col min="15564" max="15566" width="13.5703125" customWidth="1"/>
    <col min="15567" max="15567" width="15.5703125" customWidth="1"/>
    <col min="15568" max="15569" width="14.7109375" customWidth="1"/>
    <col min="15570" max="15571" width="14.28515625" customWidth="1"/>
    <col min="15572" max="15572" width="13.5703125" bestFit="1" customWidth="1"/>
    <col min="15573" max="15573" width="19.5703125" customWidth="1"/>
    <col min="15574" max="15574" width="22" customWidth="1"/>
    <col min="15575" max="15575" width="14.5703125" customWidth="1"/>
    <col min="15576" max="15576" width="15" customWidth="1"/>
    <col min="15577" max="15577" width="12.5703125" bestFit="1" customWidth="1"/>
    <col min="15578" max="15578" width="14.42578125" customWidth="1"/>
    <col min="15579" max="15579" width="19.42578125" bestFit="1" customWidth="1"/>
    <col min="15580" max="15580" width="29.5703125" customWidth="1"/>
    <col min="15581" max="15581" width="8.7109375" bestFit="1" customWidth="1"/>
    <col min="15582" max="15583" width="8.7109375" customWidth="1"/>
    <col min="15584" max="15585" width="16" customWidth="1"/>
    <col min="15586" max="15586" width="17.42578125" customWidth="1"/>
    <col min="15587" max="15587" width="14.5703125" customWidth="1"/>
    <col min="15588" max="15590" width="12.5703125" customWidth="1"/>
    <col min="15591" max="15591" width="14.42578125" customWidth="1"/>
    <col min="15592" max="15592" width="12.5703125" customWidth="1"/>
    <col min="15593" max="15595" width="14.5703125" customWidth="1"/>
    <col min="15596" max="15596" width="12.5703125" customWidth="1"/>
    <col min="15597" max="15597" width="11.42578125" customWidth="1"/>
    <col min="15598" max="15606" width="15.28515625" customWidth="1"/>
    <col min="15607" max="15607" width="13" customWidth="1"/>
    <col min="15608" max="15610" width="14.28515625" customWidth="1"/>
    <col min="15611" max="15611" width="13.42578125" customWidth="1"/>
    <col min="15612" max="15614" width="19.28515625" customWidth="1"/>
    <col min="15615" max="15615" width="26.42578125" customWidth="1"/>
    <col min="15616" max="15616" width="8.5703125" customWidth="1"/>
    <col min="15617" max="15618" width="19.42578125" customWidth="1"/>
    <col min="15619" max="15619" width="17.28515625" customWidth="1"/>
    <col min="15620" max="15620" width="16.5703125" customWidth="1"/>
    <col min="15621" max="15621" width="12.42578125" bestFit="1" customWidth="1"/>
    <col min="15622" max="15628" width="12.42578125" customWidth="1"/>
    <col min="15629" max="15629" width="20.42578125" bestFit="1" customWidth="1"/>
    <col min="15630" max="15630" width="21.7109375" customWidth="1"/>
    <col min="15631" max="15631" width="17" bestFit="1" customWidth="1"/>
    <col min="15632" max="15632" width="19.42578125" bestFit="1" customWidth="1"/>
    <col min="15633" max="15633" width="10.7109375" bestFit="1" customWidth="1"/>
    <col min="15634" max="15634" width="17" customWidth="1"/>
    <col min="15635" max="15636" width="12.42578125" customWidth="1"/>
    <col min="15637" max="15638" width="18.28515625" customWidth="1"/>
    <col min="15639" max="15639" width="9.28515625" bestFit="1" customWidth="1"/>
    <col min="15640" max="15640" width="15.42578125" customWidth="1"/>
    <col min="15641" max="15641" width="8.42578125" bestFit="1" customWidth="1"/>
    <col min="15642" max="15642" width="11.5703125" customWidth="1"/>
    <col min="15643" max="15643" width="8.42578125" customWidth="1"/>
    <col min="15644" max="15644" width="10.42578125" customWidth="1"/>
    <col min="15645" max="15645" width="11.28515625" customWidth="1"/>
    <col min="15646" max="15648" width="10.5703125" customWidth="1"/>
    <col min="15649" max="15649" width="11.28515625" customWidth="1"/>
    <col min="15650" max="15652" width="10.5703125" customWidth="1"/>
    <col min="15785" max="15785" width="12.5703125" bestFit="1" customWidth="1"/>
    <col min="15786" max="15786" width="12.5703125" customWidth="1"/>
    <col min="15787" max="15787" width="13.5703125" bestFit="1" customWidth="1"/>
    <col min="15788" max="15788" width="15" bestFit="1" customWidth="1"/>
    <col min="15789" max="15789" width="15" customWidth="1"/>
    <col min="15790" max="15794" width="18.5703125" customWidth="1"/>
    <col min="15795" max="15796" width="31.42578125" customWidth="1"/>
    <col min="15797" max="15797" width="13.5703125" bestFit="1" customWidth="1"/>
    <col min="15798" max="15798" width="13.5703125" customWidth="1"/>
    <col min="15799" max="15799" width="20.5703125" customWidth="1"/>
    <col min="15800" max="15800" width="16" customWidth="1"/>
    <col min="15801" max="15801" width="12.28515625" bestFit="1" customWidth="1"/>
    <col min="15802" max="15802" width="17.5703125" customWidth="1"/>
    <col min="15803" max="15803" width="16" customWidth="1"/>
    <col min="15804" max="15804" width="21" customWidth="1"/>
    <col min="15805" max="15805" width="17.5703125" customWidth="1"/>
    <col min="15806" max="15806" width="27" customWidth="1"/>
    <col min="15807" max="15809" width="23.28515625" customWidth="1"/>
    <col min="15810" max="15810" width="15.7109375" customWidth="1"/>
    <col min="15811" max="15811" width="16.42578125" customWidth="1"/>
    <col min="15812" max="15814" width="19.28515625" customWidth="1"/>
    <col min="15815" max="15816" width="5.28515625" bestFit="1" customWidth="1"/>
    <col min="15817" max="15817" width="12.7109375" customWidth="1"/>
    <col min="15818" max="15819" width="19.28515625" customWidth="1"/>
    <col min="15820" max="15822" width="13.5703125" customWidth="1"/>
    <col min="15823" max="15823" width="15.5703125" customWidth="1"/>
    <col min="15824" max="15825" width="14.7109375" customWidth="1"/>
    <col min="15826" max="15827" width="14.28515625" customWidth="1"/>
    <col min="15828" max="15828" width="13.5703125" bestFit="1" customWidth="1"/>
    <col min="15829" max="15829" width="19.5703125" customWidth="1"/>
    <col min="15830" max="15830" width="22" customWidth="1"/>
    <col min="15831" max="15831" width="14.5703125" customWidth="1"/>
    <col min="15832" max="15832" width="15" customWidth="1"/>
    <col min="15833" max="15833" width="12.5703125" bestFit="1" customWidth="1"/>
    <col min="15834" max="15834" width="14.42578125" customWidth="1"/>
    <col min="15835" max="15835" width="19.42578125" bestFit="1" customWidth="1"/>
    <col min="15836" max="15836" width="29.5703125" customWidth="1"/>
    <col min="15837" max="15837" width="8.7109375" bestFit="1" customWidth="1"/>
    <col min="15838" max="15839" width="8.7109375" customWidth="1"/>
    <col min="15840" max="15841" width="16" customWidth="1"/>
    <col min="15842" max="15842" width="17.42578125" customWidth="1"/>
    <col min="15843" max="15843" width="14.5703125" customWidth="1"/>
    <col min="15844" max="15846" width="12.5703125" customWidth="1"/>
    <col min="15847" max="15847" width="14.42578125" customWidth="1"/>
    <col min="15848" max="15848" width="12.5703125" customWidth="1"/>
    <col min="15849" max="15851" width="14.5703125" customWidth="1"/>
    <col min="15852" max="15852" width="12.5703125" customWidth="1"/>
    <col min="15853" max="15853" width="11.42578125" customWidth="1"/>
    <col min="15854" max="15862" width="15.28515625" customWidth="1"/>
    <col min="15863" max="15863" width="13" customWidth="1"/>
    <col min="15864" max="15866" width="14.28515625" customWidth="1"/>
    <col min="15867" max="15867" width="13.42578125" customWidth="1"/>
    <col min="15868" max="15870" width="19.28515625" customWidth="1"/>
    <col min="15871" max="15871" width="26.42578125" customWidth="1"/>
    <col min="15872" max="15872" width="8.5703125" customWidth="1"/>
    <col min="15873" max="15874" width="19.42578125" customWidth="1"/>
    <col min="15875" max="15875" width="17.28515625" customWidth="1"/>
    <col min="15876" max="15876" width="16.5703125" customWidth="1"/>
    <col min="15877" max="15877" width="12.42578125" bestFit="1" customWidth="1"/>
    <col min="15878" max="15884" width="12.42578125" customWidth="1"/>
    <col min="15885" max="15885" width="20.42578125" bestFit="1" customWidth="1"/>
    <col min="15886" max="15886" width="21.7109375" customWidth="1"/>
    <col min="15887" max="15887" width="17" bestFit="1" customWidth="1"/>
    <col min="15888" max="15888" width="19.42578125" bestFit="1" customWidth="1"/>
    <col min="15889" max="15889" width="10.7109375" bestFit="1" customWidth="1"/>
    <col min="15890" max="15890" width="17" customWidth="1"/>
    <col min="15891" max="15892" width="12.42578125" customWidth="1"/>
    <col min="15893" max="15894" width="18.28515625" customWidth="1"/>
    <col min="15895" max="15895" width="9.28515625" bestFit="1" customWidth="1"/>
    <col min="15896" max="15896" width="15.42578125" customWidth="1"/>
    <col min="15897" max="15897" width="8.42578125" bestFit="1" customWidth="1"/>
    <col min="15898" max="15898" width="11.5703125" customWidth="1"/>
    <col min="15899" max="15899" width="8.42578125" customWidth="1"/>
    <col min="15900" max="15900" width="10.42578125" customWidth="1"/>
    <col min="15901" max="15901" width="11.28515625" customWidth="1"/>
    <col min="15902" max="15904" width="10.5703125" customWidth="1"/>
    <col min="15905" max="15905" width="11.28515625" customWidth="1"/>
    <col min="15906" max="15908" width="10.5703125" customWidth="1"/>
    <col min="16041" max="16041" width="12.5703125" bestFit="1" customWidth="1"/>
    <col min="16042" max="16042" width="12.5703125" customWidth="1"/>
    <col min="16043" max="16043" width="13.5703125" bestFit="1" customWidth="1"/>
    <col min="16044" max="16044" width="15" bestFit="1" customWidth="1"/>
    <col min="16045" max="16045" width="15" customWidth="1"/>
    <col min="16046" max="16050" width="18.5703125" customWidth="1"/>
    <col min="16051" max="16052" width="31.42578125" customWidth="1"/>
    <col min="16053" max="16053" width="13.5703125" bestFit="1" customWidth="1"/>
    <col min="16054" max="16054" width="13.5703125" customWidth="1"/>
    <col min="16055" max="16055" width="20.5703125" customWidth="1"/>
    <col min="16056" max="16056" width="16" customWidth="1"/>
    <col min="16057" max="16057" width="12.28515625" bestFit="1" customWidth="1"/>
    <col min="16058" max="16058" width="17.5703125" customWidth="1"/>
    <col min="16059" max="16059" width="16" customWidth="1"/>
    <col min="16060" max="16060" width="21" customWidth="1"/>
    <col min="16061" max="16061" width="17.5703125" customWidth="1"/>
    <col min="16062" max="16062" width="27" customWidth="1"/>
    <col min="16063" max="16065" width="23.28515625" customWidth="1"/>
    <col min="16066" max="16066" width="15.7109375" customWidth="1"/>
    <col min="16067" max="16067" width="16.42578125" customWidth="1"/>
    <col min="16068" max="16070" width="19.28515625" customWidth="1"/>
    <col min="16071" max="16072" width="5.28515625" bestFit="1" customWidth="1"/>
    <col min="16073" max="16073" width="12.7109375" customWidth="1"/>
    <col min="16074" max="16075" width="19.28515625" customWidth="1"/>
    <col min="16076" max="16078" width="13.5703125" customWidth="1"/>
    <col min="16079" max="16079" width="15.5703125" customWidth="1"/>
    <col min="16080" max="16081" width="14.7109375" customWidth="1"/>
    <col min="16082" max="16083" width="14.28515625" customWidth="1"/>
    <col min="16084" max="16084" width="13.5703125" bestFit="1" customWidth="1"/>
    <col min="16085" max="16085" width="19.5703125" customWidth="1"/>
    <col min="16086" max="16086" width="22" customWidth="1"/>
    <col min="16087" max="16087" width="14.5703125" customWidth="1"/>
    <col min="16088" max="16088" width="15" customWidth="1"/>
    <col min="16089" max="16089" width="12.5703125" bestFit="1" customWidth="1"/>
    <col min="16090" max="16090" width="14.42578125" customWidth="1"/>
    <col min="16091" max="16091" width="19.42578125" bestFit="1" customWidth="1"/>
    <col min="16092" max="16092" width="29.5703125" customWidth="1"/>
    <col min="16093" max="16093" width="8.7109375" bestFit="1" customWidth="1"/>
    <col min="16094" max="16095" width="8.7109375" customWidth="1"/>
    <col min="16096" max="16097" width="16" customWidth="1"/>
    <col min="16098" max="16098" width="17.42578125" customWidth="1"/>
    <col min="16099" max="16099" width="14.5703125" customWidth="1"/>
    <col min="16100" max="16102" width="12.5703125" customWidth="1"/>
    <col min="16103" max="16103" width="14.42578125" customWidth="1"/>
    <col min="16104" max="16104" width="12.5703125" customWidth="1"/>
    <col min="16105" max="16107" width="14.5703125" customWidth="1"/>
    <col min="16108" max="16108" width="12.5703125" customWidth="1"/>
    <col min="16109" max="16109" width="11.42578125" customWidth="1"/>
    <col min="16110" max="16118" width="15.28515625" customWidth="1"/>
    <col min="16119" max="16119" width="13" customWidth="1"/>
    <col min="16120" max="16122" width="14.28515625" customWidth="1"/>
    <col min="16123" max="16123" width="13.42578125" customWidth="1"/>
    <col min="16124" max="16126" width="19.28515625" customWidth="1"/>
    <col min="16127" max="16127" width="26.42578125" customWidth="1"/>
    <col min="16128" max="16128" width="8.5703125" customWidth="1"/>
    <col min="16129" max="16130" width="19.42578125" customWidth="1"/>
    <col min="16131" max="16131" width="17.28515625" customWidth="1"/>
    <col min="16132" max="16132" width="16.5703125" customWidth="1"/>
    <col min="16133" max="16133" width="12.42578125" bestFit="1" customWidth="1"/>
    <col min="16134" max="16140" width="12.42578125" customWidth="1"/>
    <col min="16141" max="16141" width="20.42578125" bestFit="1" customWidth="1"/>
    <col min="16142" max="16142" width="21.7109375" customWidth="1"/>
    <col min="16143" max="16143" width="17" bestFit="1" customWidth="1"/>
    <col min="16144" max="16144" width="19.42578125" bestFit="1" customWidth="1"/>
    <col min="16145" max="16145" width="10.7109375" bestFit="1" customWidth="1"/>
    <col min="16146" max="16146" width="17" customWidth="1"/>
    <col min="16147" max="16148" width="12.42578125" customWidth="1"/>
    <col min="16149" max="16150" width="18.28515625" customWidth="1"/>
    <col min="16151" max="16151" width="9.28515625" bestFit="1" customWidth="1"/>
    <col min="16152" max="16152" width="15.42578125" customWidth="1"/>
    <col min="16153" max="16153" width="8.42578125" bestFit="1" customWidth="1"/>
    <col min="16154" max="16154" width="11.5703125" customWidth="1"/>
    <col min="16155" max="16155" width="8.42578125" customWidth="1"/>
    <col min="16156" max="16156" width="10.42578125" customWidth="1"/>
    <col min="16157" max="16157" width="11.28515625" customWidth="1"/>
    <col min="16158" max="16160" width="10.5703125" customWidth="1"/>
    <col min="16161" max="16161" width="11.28515625" customWidth="1"/>
    <col min="16162" max="16164" width="10.5703125" customWidth="1"/>
  </cols>
  <sheetData>
    <row r="1" spans="1:55" s="5" customFormat="1">
      <c r="A1" s="3" t="s">
        <v>429</v>
      </c>
      <c r="B1" s="4"/>
      <c r="C1" s="391" t="s">
        <v>430</v>
      </c>
      <c r="D1" s="391"/>
      <c r="E1" s="391"/>
      <c r="F1" s="391"/>
      <c r="G1" s="391"/>
      <c r="H1" s="391"/>
      <c r="I1" s="391"/>
      <c r="J1" s="391"/>
      <c r="K1" s="391"/>
      <c r="L1" s="391"/>
      <c r="M1" s="391"/>
      <c r="N1" s="392" t="s">
        <v>431</v>
      </c>
      <c r="O1" s="393"/>
      <c r="P1" s="393"/>
      <c r="Q1" s="394"/>
      <c r="R1" s="395" t="s">
        <v>432</v>
      </c>
      <c r="S1" s="396"/>
      <c r="T1" s="396"/>
      <c r="U1" s="396"/>
      <c r="V1" s="396"/>
      <c r="W1" s="396"/>
      <c r="X1" s="396"/>
      <c r="Y1" s="396"/>
      <c r="Z1" s="396"/>
      <c r="AA1" s="396"/>
      <c r="AB1" s="396"/>
      <c r="AC1" s="396"/>
      <c r="AD1" s="396"/>
      <c r="AE1" s="396"/>
      <c r="AF1" s="396"/>
      <c r="AG1" s="396"/>
      <c r="AH1" s="397"/>
      <c r="AI1" s="398" t="s">
        <v>433</v>
      </c>
      <c r="AJ1" s="399"/>
      <c r="AK1" s="399"/>
      <c r="AL1" s="399"/>
      <c r="AM1" s="399"/>
      <c r="AN1" s="399"/>
      <c r="AO1" s="399"/>
      <c r="AP1" s="399"/>
      <c r="AQ1" s="399"/>
      <c r="AR1" s="399"/>
      <c r="AS1" s="399"/>
      <c r="AT1" s="400" t="s">
        <v>434</v>
      </c>
      <c r="AU1" s="401"/>
      <c r="AV1" s="401"/>
      <c r="AW1" s="401"/>
      <c r="AX1" s="401"/>
      <c r="AY1" s="401"/>
      <c r="AZ1" s="401"/>
      <c r="BA1" s="401"/>
      <c r="BB1" s="401"/>
      <c r="BC1" s="401"/>
    </row>
    <row r="2" spans="1:55" s="5" customFormat="1" ht="59.25" customHeight="1">
      <c r="A2" s="6" t="s">
        <v>435</v>
      </c>
      <c r="B2" s="6" t="s">
        <v>436</v>
      </c>
      <c r="C2" s="7" t="s">
        <v>437</v>
      </c>
      <c r="D2" s="7" t="s">
        <v>438</v>
      </c>
      <c r="E2" s="7" t="s">
        <v>439</v>
      </c>
      <c r="F2" s="7" t="s">
        <v>440</v>
      </c>
      <c r="G2" s="7" t="s">
        <v>441</v>
      </c>
      <c r="H2" s="7" t="s">
        <v>442</v>
      </c>
      <c r="I2" s="7" t="s">
        <v>443</v>
      </c>
      <c r="J2" s="7" t="s">
        <v>444</v>
      </c>
      <c r="K2" s="7" t="s">
        <v>445</v>
      </c>
      <c r="L2" s="7" t="s">
        <v>446</v>
      </c>
      <c r="M2" s="7" t="s">
        <v>447</v>
      </c>
      <c r="N2" s="8" t="s">
        <v>448</v>
      </c>
      <c r="O2" s="8" t="s">
        <v>449</v>
      </c>
      <c r="P2" s="8" t="s">
        <v>450</v>
      </c>
      <c r="Q2" s="8" t="s">
        <v>451</v>
      </c>
      <c r="R2" s="9" t="s">
        <v>452</v>
      </c>
      <c r="S2" s="9" t="s">
        <v>453</v>
      </c>
      <c r="T2" s="9" t="s">
        <v>454</v>
      </c>
      <c r="U2" s="9" t="s">
        <v>455</v>
      </c>
      <c r="V2" s="9" t="s">
        <v>456</v>
      </c>
      <c r="W2" s="9" t="s">
        <v>457</v>
      </c>
      <c r="X2" s="9" t="s">
        <v>458</v>
      </c>
      <c r="Y2" s="9" t="s">
        <v>459</v>
      </c>
      <c r="Z2" s="9" t="s">
        <v>460</v>
      </c>
      <c r="AA2" s="9" t="s">
        <v>461</v>
      </c>
      <c r="AB2" s="9" t="s">
        <v>462</v>
      </c>
      <c r="AC2" s="9" t="s">
        <v>463</v>
      </c>
      <c r="AD2" s="9" t="s">
        <v>464</v>
      </c>
      <c r="AE2" s="9" t="s">
        <v>465</v>
      </c>
      <c r="AF2" s="9" t="s">
        <v>466</v>
      </c>
      <c r="AG2" s="9" t="s">
        <v>467</v>
      </c>
      <c r="AH2" s="9" t="s">
        <v>468</v>
      </c>
      <c r="AI2" s="10" t="s">
        <v>469</v>
      </c>
      <c r="AJ2" s="10" t="s">
        <v>470</v>
      </c>
      <c r="AK2" s="10" t="s">
        <v>471</v>
      </c>
      <c r="AL2" s="10" t="s">
        <v>472</v>
      </c>
      <c r="AM2" s="10" t="s">
        <v>473</v>
      </c>
      <c r="AN2" s="10" t="s">
        <v>474</v>
      </c>
      <c r="AO2" s="10" t="s">
        <v>475</v>
      </c>
      <c r="AP2" s="10" t="s">
        <v>476</v>
      </c>
      <c r="AQ2" s="10" t="s">
        <v>477</v>
      </c>
      <c r="AR2" s="10" t="s">
        <v>478</v>
      </c>
      <c r="AS2" s="10" t="s">
        <v>479</v>
      </c>
      <c r="AT2" s="11" t="s">
        <v>480</v>
      </c>
      <c r="AU2" s="11" t="s">
        <v>481</v>
      </c>
      <c r="AV2" s="11" t="s">
        <v>482</v>
      </c>
      <c r="AW2" s="11" t="s">
        <v>483</v>
      </c>
      <c r="AX2" s="11" t="s">
        <v>484</v>
      </c>
      <c r="AY2" s="11" t="s">
        <v>485</v>
      </c>
      <c r="AZ2" s="11" t="s">
        <v>486</v>
      </c>
      <c r="BA2" s="11" t="s">
        <v>487</v>
      </c>
      <c r="BB2" s="11" t="s">
        <v>488</v>
      </c>
      <c r="BC2" s="11" t="s">
        <v>489</v>
      </c>
    </row>
    <row r="3" spans="1:55" s="12" customFormat="1" ht="13.5" customHeight="1">
      <c r="F3" s="1"/>
      <c r="Q3" s="2"/>
    </row>
    <row r="4" spans="1:55">
      <c r="E4"/>
      <c r="K4"/>
      <c r="L4"/>
      <c r="M4"/>
      <c r="R4"/>
      <c r="S4"/>
      <c r="T4"/>
      <c r="U4"/>
      <c r="AI4"/>
      <c r="AJ4"/>
      <c r="AK4"/>
      <c r="AL4"/>
      <c r="AM4"/>
      <c r="AN4"/>
      <c r="AO4"/>
      <c r="AP4"/>
      <c r="AQ4"/>
      <c r="AR4"/>
      <c r="AS4"/>
    </row>
    <row r="5" spans="1:55">
      <c r="A5" s="14" t="s">
        <v>130</v>
      </c>
      <c r="B5" s="15" t="s">
        <v>490</v>
      </c>
      <c r="C5" s="15" t="s">
        <v>490</v>
      </c>
      <c r="D5" s="15" t="s">
        <v>490</v>
      </c>
      <c r="E5" s="15" t="s">
        <v>491</v>
      </c>
      <c r="F5" s="15" t="s">
        <v>490</v>
      </c>
      <c r="G5" s="15" t="s">
        <v>490</v>
      </c>
      <c r="H5" s="15" t="s">
        <v>490</v>
      </c>
      <c r="I5" s="15" t="s">
        <v>490</v>
      </c>
      <c r="J5" s="15" t="s">
        <v>490</v>
      </c>
      <c r="K5" s="15" t="s">
        <v>490</v>
      </c>
      <c r="L5" s="15" t="s">
        <v>490</v>
      </c>
      <c r="M5" s="16" t="s">
        <v>490</v>
      </c>
      <c r="N5" s="16" t="s">
        <v>490</v>
      </c>
      <c r="O5" s="16" t="s">
        <v>490</v>
      </c>
      <c r="P5" s="16" t="s">
        <v>490</v>
      </c>
      <c r="Q5" s="16" t="s">
        <v>490</v>
      </c>
      <c r="R5" s="16" t="s">
        <v>490</v>
      </c>
      <c r="S5" s="16" t="s">
        <v>490</v>
      </c>
      <c r="T5" s="16" t="s">
        <v>490</v>
      </c>
      <c r="U5" s="16" t="s">
        <v>490</v>
      </c>
      <c r="V5" s="16" t="s">
        <v>490</v>
      </c>
      <c r="W5" s="16" t="s">
        <v>490</v>
      </c>
      <c r="X5" s="16" t="s">
        <v>490</v>
      </c>
      <c r="Y5" s="16" t="s">
        <v>490</v>
      </c>
      <c r="Z5" s="16" t="s">
        <v>490</v>
      </c>
      <c r="AA5" s="16" t="s">
        <v>490</v>
      </c>
      <c r="AB5" s="16" t="s">
        <v>490</v>
      </c>
      <c r="AC5" s="16" t="s">
        <v>490</v>
      </c>
      <c r="AD5" s="16" t="s">
        <v>490</v>
      </c>
      <c r="AE5" s="16" t="s">
        <v>490</v>
      </c>
      <c r="AF5" s="16" t="s">
        <v>490</v>
      </c>
      <c r="AG5" s="16" t="s">
        <v>490</v>
      </c>
      <c r="AH5" s="16" t="s">
        <v>490</v>
      </c>
      <c r="AI5" s="16" t="s">
        <v>490</v>
      </c>
      <c r="AJ5" s="16" t="s">
        <v>490</v>
      </c>
      <c r="AK5" s="16" t="s">
        <v>490</v>
      </c>
      <c r="AL5" s="16" t="s">
        <v>490</v>
      </c>
      <c r="AM5" s="16" t="s">
        <v>490</v>
      </c>
      <c r="AN5" s="16" t="s">
        <v>490</v>
      </c>
      <c r="AO5" s="16" t="s">
        <v>490</v>
      </c>
      <c r="AP5" s="16" t="s">
        <v>490</v>
      </c>
      <c r="AQ5" s="16" t="s">
        <v>490</v>
      </c>
      <c r="AR5" s="16" t="s">
        <v>490</v>
      </c>
      <c r="AS5" s="12" t="s">
        <v>491</v>
      </c>
      <c r="AT5" s="12" t="s">
        <v>491</v>
      </c>
      <c r="AU5" s="12" t="s">
        <v>491</v>
      </c>
      <c r="AV5" s="12" t="s">
        <v>491</v>
      </c>
      <c r="AW5" s="12" t="s">
        <v>491</v>
      </c>
      <c r="AX5" s="12" t="s">
        <v>491</v>
      </c>
      <c r="AY5" s="12" t="s">
        <v>491</v>
      </c>
      <c r="AZ5" s="12" t="s">
        <v>491</v>
      </c>
      <c r="BA5" s="12" t="s">
        <v>491</v>
      </c>
      <c r="BB5" s="12" t="s">
        <v>491</v>
      </c>
      <c r="BC5" s="12" t="s">
        <v>491</v>
      </c>
    </row>
    <row r="6" spans="1:55">
      <c r="E6"/>
      <c r="K6"/>
      <c r="L6"/>
      <c r="M6"/>
      <c r="R6"/>
      <c r="S6"/>
      <c r="T6"/>
      <c r="U6"/>
      <c r="AI6"/>
      <c r="AJ6"/>
      <c r="AK6"/>
      <c r="AL6"/>
      <c r="AM6"/>
      <c r="AN6"/>
      <c r="AO6"/>
      <c r="AP6"/>
      <c r="AQ6"/>
      <c r="AR6"/>
      <c r="AS6"/>
    </row>
    <row r="7" spans="1:55">
      <c r="E7"/>
      <c r="K7"/>
      <c r="L7"/>
      <c r="M7"/>
      <c r="R7"/>
      <c r="S7"/>
      <c r="T7"/>
      <c r="U7"/>
      <c r="AI7"/>
      <c r="AJ7"/>
      <c r="AK7"/>
      <c r="AL7"/>
      <c r="AM7"/>
      <c r="AN7"/>
      <c r="AO7"/>
      <c r="AP7"/>
      <c r="AQ7"/>
      <c r="AR7"/>
      <c r="AS7"/>
    </row>
    <row r="8" spans="1:55">
      <c r="E8"/>
      <c r="K8"/>
      <c r="L8"/>
      <c r="M8"/>
      <c r="R8"/>
      <c r="S8"/>
      <c r="T8"/>
      <c r="U8"/>
      <c r="AI8"/>
      <c r="AJ8"/>
      <c r="AK8"/>
      <c r="AL8"/>
      <c r="AM8"/>
      <c r="AN8"/>
      <c r="AO8"/>
      <c r="AP8"/>
      <c r="AQ8"/>
      <c r="AR8"/>
      <c r="AS8"/>
    </row>
    <row r="9" spans="1:55">
      <c r="E9"/>
      <c r="K9"/>
      <c r="L9"/>
      <c r="M9"/>
      <c r="R9"/>
      <c r="S9"/>
      <c r="T9"/>
      <c r="U9"/>
      <c r="AI9"/>
      <c r="AJ9"/>
      <c r="AK9"/>
      <c r="AL9"/>
      <c r="AM9"/>
      <c r="AN9"/>
      <c r="AO9"/>
      <c r="AP9"/>
      <c r="AQ9"/>
      <c r="AR9"/>
      <c r="AS9"/>
    </row>
    <row r="10" spans="1:55">
      <c r="E10"/>
      <c r="K10"/>
      <c r="L10"/>
      <c r="M10"/>
      <c r="R10"/>
      <c r="S10"/>
      <c r="T10"/>
      <c r="U10"/>
      <c r="AI10"/>
      <c r="AJ10"/>
      <c r="AK10"/>
      <c r="AL10"/>
      <c r="AM10"/>
      <c r="AN10"/>
      <c r="AO10"/>
      <c r="AP10"/>
      <c r="AQ10"/>
      <c r="AR10"/>
      <c r="AS10"/>
    </row>
    <row r="11" spans="1:55">
      <c r="E11"/>
      <c r="K11"/>
      <c r="L11"/>
      <c r="M11"/>
      <c r="R11"/>
      <c r="S11"/>
      <c r="T11"/>
      <c r="U11"/>
      <c r="AI11"/>
      <c r="AJ11"/>
      <c r="AK11"/>
      <c r="AL11"/>
      <c r="AM11"/>
      <c r="AN11"/>
      <c r="AO11"/>
      <c r="AP11"/>
      <c r="AQ11"/>
      <c r="AR11"/>
      <c r="AS11"/>
    </row>
    <row r="12" spans="1:55">
      <c r="E12"/>
      <c r="K12"/>
      <c r="L12"/>
      <c r="M12"/>
      <c r="R12"/>
      <c r="S12"/>
      <c r="T12"/>
      <c r="U12"/>
      <c r="AI12"/>
      <c r="AJ12"/>
      <c r="AK12"/>
      <c r="AL12"/>
      <c r="AM12"/>
      <c r="AN12"/>
      <c r="AO12"/>
      <c r="AP12"/>
      <c r="AQ12"/>
      <c r="AR12"/>
      <c r="AS12"/>
    </row>
    <row r="13" spans="1:55">
      <c r="E13"/>
      <c r="K13"/>
      <c r="L13"/>
      <c r="M13"/>
      <c r="R13"/>
      <c r="S13"/>
      <c r="T13"/>
      <c r="U13"/>
      <c r="AI13"/>
      <c r="AJ13"/>
      <c r="AK13"/>
      <c r="AL13"/>
      <c r="AM13"/>
      <c r="AN13"/>
      <c r="AO13"/>
      <c r="AP13"/>
      <c r="AQ13"/>
      <c r="AR13"/>
      <c r="AS13"/>
    </row>
    <row r="14" spans="1:55">
      <c r="E14"/>
      <c r="K14"/>
      <c r="L14"/>
      <c r="M14"/>
      <c r="R14"/>
      <c r="S14"/>
      <c r="T14"/>
      <c r="U14"/>
      <c r="AI14"/>
      <c r="AJ14"/>
      <c r="AK14"/>
      <c r="AL14"/>
      <c r="AM14"/>
      <c r="AN14"/>
      <c r="AO14"/>
      <c r="AP14"/>
      <c r="AQ14"/>
      <c r="AR14"/>
      <c r="AS14"/>
    </row>
    <row r="15" spans="1:55">
      <c r="E15"/>
      <c r="K15"/>
      <c r="L15"/>
      <c r="M15"/>
      <c r="R15"/>
      <c r="S15"/>
      <c r="T15"/>
      <c r="U15"/>
      <c r="AI15"/>
      <c r="AJ15"/>
      <c r="AK15"/>
      <c r="AL15"/>
      <c r="AM15"/>
      <c r="AN15"/>
      <c r="AO15"/>
      <c r="AP15"/>
      <c r="AQ15"/>
      <c r="AR15"/>
      <c r="AS15"/>
    </row>
    <row r="16" spans="1:55">
      <c r="E16"/>
      <c r="K16"/>
      <c r="L16"/>
      <c r="M16"/>
      <c r="R16"/>
      <c r="S16"/>
      <c r="T16"/>
      <c r="U16"/>
      <c r="AI16"/>
      <c r="AJ16"/>
      <c r="AK16"/>
      <c r="AL16"/>
      <c r="AM16"/>
      <c r="AN16"/>
      <c r="AO16"/>
      <c r="AP16"/>
      <c r="AQ16"/>
      <c r="AR16"/>
      <c r="AS16"/>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sheetData>
  <mergeCells count="5">
    <mergeCell ref="C1:M1"/>
    <mergeCell ref="N1:Q1"/>
    <mergeCell ref="R1:AH1"/>
    <mergeCell ref="AI1:AS1"/>
    <mergeCell ref="AT1:BC1"/>
  </mergeCells>
  <pageMargins left="0.7" right="0.7" top="0.75" bottom="0.75" header="0.3" footer="0.3"/>
  <pageSetup orientation="portrait" horizontalDpi="90" verticalDpi="90" r:id="rId1"/>
  <headerFooter>
    <oddFooter>&amp;C&amp;1#&amp;"Arial"&amp;7&amp;K000000Sensitivity: Internal &amp; Restricted</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37B2AB30B2E448A099E80B75C9ED47" ma:contentTypeVersion="14" ma:contentTypeDescription="Create a new document." ma:contentTypeScope="" ma:versionID="f552c77fdca308af229fe72c59486043">
  <xsd:schema xmlns:xsd="http://www.w3.org/2001/XMLSchema" xmlns:xs="http://www.w3.org/2001/XMLSchema" xmlns:p="http://schemas.microsoft.com/office/2006/metadata/properties" xmlns:ns2="3e142078-3dfa-4665-b993-8c4b313ab618" xmlns:ns3="069cf8d4-edba-4ecf-845a-e163bc5a8bbf" targetNamespace="http://schemas.microsoft.com/office/2006/metadata/properties" ma:root="true" ma:fieldsID="377064d44a5f23536a2dde782fa3c81c" ns2:_="" ns3:_="">
    <xsd:import namespace="3e142078-3dfa-4665-b993-8c4b313ab618"/>
    <xsd:import namespace="069cf8d4-edba-4ecf-845a-e163bc5a8b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Owner" minOccurs="0"/>
                <xsd:element ref="ns2:Progress_x0028__x0025__x0029_"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42078-3dfa-4665-b993-8c4b313ab6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5ebeb2d-667f-43bd-86ca-2a4d877a17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Owner" ma:index="18" nillable="true" ma:displayName="Owner" ma:description="Document Owner" ma:format="Dropdown" ma:internalName="Owner">
      <xsd:simpleType>
        <xsd:restriction base="dms:Text">
          <xsd:maxLength value="255"/>
        </xsd:restriction>
      </xsd:simpleType>
    </xsd:element>
    <xsd:element name="Progress_x0028__x0025__x0029_" ma:index="19" nillable="true" ma:displayName="Progress (%)" ma:description="Document progress in %" ma:format="Dropdown" ma:internalName="Progress_x0028__x0025__x0029_" ma:percentage="FALSE">
      <xsd:simpleType>
        <xsd:restriction base="dms:Number"/>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9cf8d4-edba-4ecf-845a-e163bc5a8bb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07024c4-5ee3-4b80-9da1-af4f0b078c76}" ma:internalName="TaxCatchAll" ma:showField="CatchAllData" ma:web="069cf8d4-edba-4ecf-845a-e163bc5a8b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69cf8d4-edba-4ecf-845a-e163bc5a8bbf" xsi:nil="true"/>
    <lcf76f155ced4ddcb4097134ff3c332f xmlns="3e142078-3dfa-4665-b993-8c4b313ab618">
      <Terms xmlns="http://schemas.microsoft.com/office/infopath/2007/PartnerControls"/>
    </lcf76f155ced4ddcb4097134ff3c332f>
    <Owner xmlns="3e142078-3dfa-4665-b993-8c4b313ab618" xsi:nil="true"/>
    <Progress_x0028__x0025__x0029_ xmlns="3e142078-3dfa-4665-b993-8c4b313ab61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6A0512-5E04-4B06-BA11-AC96B1BADD22}"/>
</file>

<file path=customXml/itemProps2.xml><?xml version="1.0" encoding="utf-8"?>
<ds:datastoreItem xmlns:ds="http://schemas.openxmlformats.org/officeDocument/2006/customXml" ds:itemID="{E9F15031-F5D2-4F96-BA0F-D048DE3CB5BD}"/>
</file>

<file path=customXml/itemProps3.xml><?xml version="1.0" encoding="utf-8"?>
<ds:datastoreItem xmlns:ds="http://schemas.openxmlformats.org/officeDocument/2006/customXml" ds:itemID="{C44C3EB7-7A96-48C1-8343-F049B2F7F0BD}"/>
</file>

<file path=docMetadata/LabelInfo.xml><?xml version="1.0" encoding="utf-8"?>
<clbl:labelList xmlns:clbl="http://schemas.microsoft.com/office/2020/mipLabelMetadata">
  <clbl:label id="{6cffca7b-dfb1-47ed-98d7-8af46e74d15c}" enabled="1" method="Standard" siteId="{72adb271-2fc7-4afe-a5ee-9de6a59f6bfb}" removed="0"/>
  <clbl:label id="{a27f6b6b-dc28-48c2-a138-ddf0f11455f1}" enabled="0" method="" siteId="{a27f6b6b-dc28-48c2-a138-ddf0f11455f1}"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Prajeesh Kumar</dc:creator>
  <cp:keywords/>
  <dc:description/>
  <cp:lastModifiedBy/>
  <cp:revision/>
  <dcterms:created xsi:type="dcterms:W3CDTF">2015-06-05T18:17:20Z</dcterms:created>
  <dcterms:modified xsi:type="dcterms:W3CDTF">2026-10-13T15:57:49Z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0x010100E737B2AB30B2E448A099E80B75C9ED47</vt:lpwstr>
  </property>
  <property fmtid="{D5CDD505-2E9C-101B-9397-08002B2CF9AE}" pid="3" name="MSIP_Label_b9a70571-31c6-4603-80c1-ef2fb871a62a_Enabled">
    <vt:lpwstr>True</vt:lpwstr>
  </property>
  <property fmtid="{D5CDD505-2E9C-101B-9397-08002B2CF9AE}" pid="4" name="MSIP_Label_b9a70571-31c6-4603-80c1-ef2fb871a62a_SiteId">
    <vt:lpwstr>258ac4e4-146a-411e-9dc8-79a9e12fd6da</vt:lpwstr>
  </property>
  <property fmtid="{D5CDD505-2E9C-101B-9397-08002B2CF9AE}" pid="5" name="MSIP_Label_b9a70571-31c6-4603-80c1-ef2fb871a62a_Owner">
    <vt:lpwstr>prajeek@wipro.com</vt:lpwstr>
  </property>
  <property fmtid="{D5CDD505-2E9C-101B-9397-08002B2CF9AE}" pid="6" name="MSIP_Label_b9a70571-31c6-4603-80c1-ef2fb871a62a_SetDate">
    <vt:lpwstr>2020-09-15T11:36:03.9662568Z</vt:lpwstr>
  </property>
  <property fmtid="{D5CDD505-2E9C-101B-9397-08002B2CF9AE}" pid="7" name="MSIP_Label_b9a70571-31c6-4603-80c1-ef2fb871a62a_Name">
    <vt:lpwstr>Internal and Restricted</vt:lpwstr>
  </property>
  <property fmtid="{D5CDD505-2E9C-101B-9397-08002B2CF9AE}" pid="8" name="MSIP_Label_b9a70571-31c6-4603-80c1-ef2fb871a62a_Application">
    <vt:lpwstr>Microsoft Azure Information Protection</vt:lpwstr>
  </property>
  <property fmtid="{D5CDD505-2E9C-101B-9397-08002B2CF9AE}" pid="9" name="MSIP_Label_b9a70571-31c6-4603-80c1-ef2fb871a62a_ActionId">
    <vt:lpwstr>e0cdde4d-313b-422d-856a-3b0b9f628109</vt:lpwstr>
  </property>
  <property fmtid="{D5CDD505-2E9C-101B-9397-08002B2CF9AE}" pid="10" name="MSIP_Label_b9a70571-31c6-4603-80c1-ef2fb871a62a_Extended_MSFT_Method">
    <vt:lpwstr>Automatic</vt:lpwstr>
  </property>
  <property fmtid="{D5CDD505-2E9C-101B-9397-08002B2CF9AE}" pid="11" name="MSIP_Label_be4b3411-284d-4d31-bd4f-bc13ef7f1fd6_Enabled">
    <vt:lpwstr>True</vt:lpwstr>
  </property>
  <property fmtid="{D5CDD505-2E9C-101B-9397-08002B2CF9AE}" pid="12" name="MSIP_Label_be4b3411-284d-4d31-bd4f-bc13ef7f1fd6_SiteId">
    <vt:lpwstr>63ce7d59-2f3e-42cd-a8cc-be764cff5eb6</vt:lpwstr>
  </property>
  <property fmtid="{D5CDD505-2E9C-101B-9397-08002B2CF9AE}" pid="13" name="MSIP_Label_be4b3411-284d-4d31-bd4f-bc13ef7f1fd6_Owner">
    <vt:lpwstr>Deepthi_U@ad.infosys.com</vt:lpwstr>
  </property>
  <property fmtid="{D5CDD505-2E9C-101B-9397-08002B2CF9AE}" pid="14" name="MSIP_Label_be4b3411-284d-4d31-bd4f-bc13ef7f1fd6_SetDate">
    <vt:lpwstr>2020-07-09T12:59:49.7185017Z</vt:lpwstr>
  </property>
  <property fmtid="{D5CDD505-2E9C-101B-9397-08002B2CF9AE}" pid="15" name="MSIP_Label_be4b3411-284d-4d31-bd4f-bc13ef7f1fd6_Name">
    <vt:lpwstr>Internal</vt:lpwstr>
  </property>
  <property fmtid="{D5CDD505-2E9C-101B-9397-08002B2CF9AE}" pid="16" name="MSIP_Label_be4b3411-284d-4d31-bd4f-bc13ef7f1fd6_Application">
    <vt:lpwstr>Microsoft Azure Information Protection</vt:lpwstr>
  </property>
  <property fmtid="{D5CDD505-2E9C-101B-9397-08002B2CF9AE}" pid="17" name="MSIP_Label_be4b3411-284d-4d31-bd4f-bc13ef7f1fd6_ActionId">
    <vt:lpwstr>a737b94f-7cf2-498b-bcdd-1785254d6a5a</vt:lpwstr>
  </property>
  <property fmtid="{D5CDD505-2E9C-101B-9397-08002B2CF9AE}" pid="18" name="MSIP_Label_be4b3411-284d-4d31-bd4f-bc13ef7f1fd6_Extended_MSFT_Method">
    <vt:lpwstr>Automatic</vt:lpwstr>
  </property>
  <property fmtid="{D5CDD505-2E9C-101B-9397-08002B2CF9AE}" pid="19" name="MSIP_Label_a0819fa7-4367-4500-ba88-dd630d977609_Enabled">
    <vt:lpwstr>True</vt:lpwstr>
  </property>
  <property fmtid="{D5CDD505-2E9C-101B-9397-08002B2CF9AE}" pid="20" name="MSIP_Label_a0819fa7-4367-4500-ba88-dd630d977609_SiteId">
    <vt:lpwstr>63ce7d59-2f3e-42cd-a8cc-be764cff5eb6</vt:lpwstr>
  </property>
  <property fmtid="{D5CDD505-2E9C-101B-9397-08002B2CF9AE}" pid="21" name="MSIP_Label_a0819fa7-4367-4500-ba88-dd630d977609_Owner">
    <vt:lpwstr>Deepthi_U@ad.infosys.com</vt:lpwstr>
  </property>
  <property fmtid="{D5CDD505-2E9C-101B-9397-08002B2CF9AE}" pid="22" name="MSIP_Label_a0819fa7-4367-4500-ba88-dd630d977609_SetDate">
    <vt:lpwstr>2020-07-09T12:59:49.7185017Z</vt:lpwstr>
  </property>
  <property fmtid="{D5CDD505-2E9C-101B-9397-08002B2CF9AE}" pid="23" name="MSIP_Label_a0819fa7-4367-4500-ba88-dd630d977609_Name">
    <vt:lpwstr>Companywide usage</vt:lpwstr>
  </property>
  <property fmtid="{D5CDD505-2E9C-101B-9397-08002B2CF9AE}" pid="24" name="MSIP_Label_a0819fa7-4367-4500-ba88-dd630d977609_Application">
    <vt:lpwstr>Microsoft Azure Information Protection</vt:lpwstr>
  </property>
  <property fmtid="{D5CDD505-2E9C-101B-9397-08002B2CF9AE}" pid="25" name="MSIP_Label_a0819fa7-4367-4500-ba88-dd630d977609_ActionId">
    <vt:lpwstr>a737b94f-7cf2-498b-bcdd-1785254d6a5a</vt:lpwstr>
  </property>
  <property fmtid="{D5CDD505-2E9C-101B-9397-08002B2CF9AE}" pid="26" name="MSIP_Label_a0819fa7-4367-4500-ba88-dd630d977609_Parent">
    <vt:lpwstr>be4b3411-284d-4d31-bd4f-bc13ef7f1fd6</vt:lpwstr>
  </property>
  <property fmtid="{D5CDD505-2E9C-101B-9397-08002B2CF9AE}" pid="27" name="MSIP_Label_a0819fa7-4367-4500-ba88-dd630d977609_Extended_MSFT_Method">
    <vt:lpwstr>Automatic</vt:lpwstr>
  </property>
  <property fmtid="{D5CDD505-2E9C-101B-9397-08002B2CF9AE}" pid="28" name="Sensitivity">
    <vt:lpwstr>Internal and Restricted Internal Companywide usage</vt:lpwstr>
  </property>
  <property fmtid="{D5CDD505-2E9C-101B-9397-08002B2CF9AE}" pid="29" name="MediaServiceImageTags">
    <vt:lpwstr/>
  </property>
</Properties>
</file>